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Data Analysis\Assignment\"/>
    </mc:Choice>
  </mc:AlternateContent>
  <xr:revisionPtr revIDLastSave="0" documentId="13_ncr:1_{BEB4166F-CFC3-4B7D-80A3-6D2E2C0DBFB7}" xr6:coauthVersionLast="47" xr6:coauthVersionMax="47" xr10:uidLastSave="{00000000-0000-0000-0000-000000000000}"/>
  <bookViews>
    <workbookView xWindow="-108" yWindow="-108" windowWidth="23256" windowHeight="13896" activeTab="7" xr2:uid="{00000000-000D-0000-FFFF-FFFF00000000}"/>
  </bookViews>
  <sheets>
    <sheet name="Dataset" sheetId="2" r:id="rId1"/>
    <sheet name="1.task" sheetId="3" r:id="rId2"/>
    <sheet name="2.task" sheetId="4" r:id="rId3"/>
    <sheet name="3.task" sheetId="5" r:id="rId4"/>
    <sheet name="4.task" sheetId="6" r:id="rId5"/>
    <sheet name="5.task" sheetId="8" r:id="rId6"/>
    <sheet name="6.task" sheetId="9" r:id="rId7"/>
    <sheet name="Result" sheetId="7" r:id="rId8"/>
  </sheets>
  <definedNames>
    <definedName name="_xlnm._FilterDatabase" localSheetId="2" hidden="1">'2.task'!$J$1:$J$35</definedName>
    <definedName name="_xlnm._FilterDatabase" localSheetId="6" hidden="1">'6.task'!$A$1:$Q$1</definedName>
    <definedName name="_xlnm._FilterDatabase" localSheetId="0" hidden="1">Dataset!$A$1:$F$35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2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N33" i="6"/>
  <c r="L33" i="6"/>
  <c r="H33" i="6"/>
  <c r="N32" i="6"/>
  <c r="L32" i="6"/>
  <c r="H32" i="6"/>
  <c r="N31" i="6"/>
  <c r="L31" i="6"/>
  <c r="H31" i="6"/>
  <c r="N30" i="6"/>
  <c r="L30" i="6"/>
  <c r="H30" i="6"/>
  <c r="N29" i="6"/>
  <c r="L29" i="6"/>
  <c r="H29" i="6"/>
  <c r="N28" i="6"/>
  <c r="L28" i="6"/>
  <c r="H28" i="6"/>
  <c r="N27" i="6"/>
  <c r="L27" i="6"/>
  <c r="H27" i="6"/>
  <c r="N26" i="6"/>
  <c r="L26" i="6"/>
  <c r="H26" i="6"/>
  <c r="N25" i="6"/>
  <c r="L25" i="6"/>
  <c r="H25" i="6"/>
  <c r="N24" i="6"/>
  <c r="L24" i="6"/>
  <c r="H24" i="6"/>
  <c r="N23" i="6"/>
  <c r="L23" i="6"/>
  <c r="H23" i="6"/>
  <c r="N22" i="6"/>
  <c r="L22" i="6"/>
  <c r="H22" i="6"/>
  <c r="N21" i="6"/>
  <c r="L21" i="6"/>
  <c r="H21" i="6"/>
  <c r="N20" i="6"/>
  <c r="L20" i="6"/>
  <c r="H20" i="6"/>
  <c r="N19" i="6"/>
  <c r="L19" i="6"/>
  <c r="H19" i="6"/>
  <c r="N18" i="6"/>
  <c r="L18" i="6"/>
  <c r="H18" i="6"/>
  <c r="N17" i="6"/>
  <c r="L17" i="6"/>
  <c r="H17" i="6"/>
  <c r="N16" i="6"/>
  <c r="L16" i="6"/>
  <c r="H16" i="6"/>
  <c r="N15" i="6"/>
  <c r="L15" i="6"/>
  <c r="H15" i="6"/>
  <c r="N14" i="6"/>
  <c r="L14" i="6"/>
  <c r="H14" i="6"/>
  <c r="N13" i="6"/>
  <c r="L13" i="6"/>
  <c r="H13" i="6"/>
  <c r="N12" i="6"/>
  <c r="L12" i="6"/>
  <c r="H12" i="6"/>
  <c r="N11" i="6"/>
  <c r="L11" i="6"/>
  <c r="H11" i="6"/>
  <c r="N10" i="6"/>
  <c r="L10" i="6"/>
  <c r="H10" i="6"/>
  <c r="N9" i="6"/>
  <c r="L9" i="6"/>
  <c r="H9" i="6"/>
  <c r="N8" i="6"/>
  <c r="L8" i="6"/>
  <c r="H8" i="6"/>
  <c r="N7" i="6"/>
  <c r="L7" i="6"/>
  <c r="H7" i="6"/>
  <c r="N6" i="6"/>
  <c r="L6" i="6"/>
  <c r="H6" i="6"/>
  <c r="N5" i="6"/>
  <c r="L5" i="6"/>
  <c r="H5" i="6"/>
  <c r="N4" i="6"/>
  <c r="L4" i="6"/>
  <c r="H4" i="6"/>
  <c r="N3" i="6"/>
  <c r="L3" i="6"/>
  <c r="H3" i="6"/>
  <c r="Q37" i="2"/>
  <c r="K37" i="2"/>
  <c r="J37" i="2"/>
  <c r="I37" i="2"/>
  <c r="H37" i="2"/>
  <c r="Q36" i="2"/>
  <c r="K36" i="2"/>
  <c r="J36" i="2"/>
  <c r="I36" i="2"/>
  <c r="H36" i="2"/>
  <c r="Q35" i="2"/>
  <c r="K35" i="2"/>
  <c r="J35" i="2"/>
  <c r="I35" i="2"/>
  <c r="H35" i="2"/>
  <c r="Q34" i="2"/>
  <c r="K34" i="2"/>
  <c r="J34" i="2"/>
  <c r="I34" i="2"/>
  <c r="H34" i="2"/>
  <c r="Q33" i="2"/>
  <c r="K33" i="2"/>
  <c r="J33" i="2"/>
  <c r="I33" i="2"/>
  <c r="H33" i="2"/>
  <c r="Q32" i="2"/>
  <c r="K32" i="2"/>
  <c r="J32" i="2"/>
  <c r="I32" i="2"/>
  <c r="H32" i="2"/>
  <c r="Q31" i="2"/>
  <c r="K31" i="2"/>
  <c r="J31" i="2"/>
  <c r="I31" i="2"/>
  <c r="H31" i="2"/>
  <c r="Q30" i="2"/>
  <c r="K30" i="2"/>
  <c r="J30" i="2"/>
  <c r="I30" i="2"/>
  <c r="H30" i="2"/>
  <c r="Q29" i="2"/>
  <c r="K29" i="2"/>
  <c r="J29" i="2"/>
  <c r="I29" i="2"/>
  <c r="H29" i="2"/>
  <c r="Q28" i="2"/>
  <c r="K28" i="2"/>
  <c r="J28" i="2"/>
  <c r="I28" i="2"/>
  <c r="H28" i="2"/>
  <c r="Q27" i="2"/>
  <c r="K27" i="2"/>
  <c r="J27" i="2"/>
  <c r="I27" i="2"/>
  <c r="H27" i="2"/>
  <c r="Q26" i="2"/>
  <c r="K26" i="2"/>
  <c r="J26" i="2"/>
  <c r="I26" i="2"/>
  <c r="H26" i="2"/>
  <c r="Q25" i="2"/>
  <c r="K25" i="2"/>
  <c r="J25" i="2"/>
  <c r="I25" i="2"/>
  <c r="H25" i="2"/>
  <c r="Q24" i="2"/>
  <c r="K24" i="2"/>
  <c r="J24" i="2"/>
  <c r="I24" i="2"/>
  <c r="H24" i="2"/>
  <c r="Q23" i="2"/>
  <c r="K23" i="2"/>
  <c r="J23" i="2"/>
  <c r="I23" i="2"/>
  <c r="H23" i="2"/>
  <c r="Q22" i="2"/>
  <c r="K22" i="2"/>
  <c r="J22" i="2"/>
  <c r="I22" i="2"/>
  <c r="H22" i="2"/>
  <c r="Q21" i="2"/>
  <c r="K21" i="2"/>
  <c r="J21" i="2"/>
  <c r="I21" i="2"/>
  <c r="H21" i="2"/>
  <c r="Q20" i="2"/>
  <c r="K20" i="2"/>
  <c r="J20" i="2"/>
  <c r="I20" i="2"/>
  <c r="H20" i="2"/>
  <c r="Q19" i="2"/>
  <c r="K19" i="2"/>
  <c r="J19" i="2"/>
  <c r="I19" i="2"/>
  <c r="H19" i="2"/>
  <c r="Q18" i="2"/>
  <c r="K18" i="2"/>
  <c r="J18" i="2"/>
  <c r="I18" i="2"/>
  <c r="H18" i="2"/>
  <c r="Q17" i="2"/>
  <c r="K17" i="2"/>
  <c r="J17" i="2"/>
  <c r="I17" i="2"/>
  <c r="H17" i="2"/>
  <c r="Q16" i="2"/>
  <c r="K16" i="2"/>
  <c r="J16" i="2"/>
  <c r="I16" i="2"/>
  <c r="H16" i="2"/>
  <c r="Q15" i="2"/>
  <c r="K15" i="2"/>
  <c r="J15" i="2"/>
  <c r="I15" i="2"/>
  <c r="H15" i="2"/>
  <c r="Q14" i="2"/>
  <c r="K14" i="2"/>
  <c r="J14" i="2"/>
  <c r="I14" i="2"/>
  <c r="H14" i="2"/>
  <c r="Q13" i="2"/>
  <c r="K13" i="2"/>
  <c r="J13" i="2"/>
  <c r="I13" i="2"/>
  <c r="H13" i="2"/>
  <c r="Q12" i="2"/>
  <c r="K12" i="2"/>
  <c r="J12" i="2"/>
  <c r="I12" i="2"/>
  <c r="H12" i="2"/>
  <c r="Q11" i="2"/>
  <c r="K11" i="2"/>
  <c r="J11" i="2"/>
  <c r="I11" i="2"/>
  <c r="H11" i="2"/>
  <c r="Q10" i="2"/>
  <c r="K10" i="2"/>
  <c r="J10" i="2"/>
  <c r="I10" i="2"/>
  <c r="H10" i="2"/>
  <c r="Q9" i="2"/>
  <c r="K9" i="2"/>
  <c r="J9" i="2"/>
  <c r="I9" i="2"/>
  <c r="H9" i="2"/>
  <c r="Q8" i="2"/>
  <c r="K8" i="2"/>
  <c r="J8" i="2"/>
  <c r="I8" i="2"/>
  <c r="H8" i="2"/>
  <c r="Q7" i="2"/>
  <c r="K7" i="2"/>
  <c r="J7" i="2"/>
  <c r="I7" i="2"/>
  <c r="H7" i="2"/>
  <c r="Q6" i="2"/>
  <c r="K6" i="2"/>
  <c r="J6" i="2"/>
  <c r="I6" i="2"/>
  <c r="H6" i="2"/>
  <c r="Q5" i="2"/>
  <c r="K5" i="2"/>
  <c r="J5" i="2"/>
  <c r="I5" i="2"/>
  <c r="H5" i="2"/>
  <c r="Q4" i="2"/>
  <c r="K4" i="2"/>
  <c r="J4" i="2"/>
  <c r="I4" i="2"/>
  <c r="H4" i="2"/>
</calcChain>
</file>

<file path=xl/sharedStrings.xml><?xml version="1.0" encoding="utf-8"?>
<sst xmlns="http://schemas.openxmlformats.org/spreadsheetml/2006/main" count="1393" uniqueCount="169">
  <si>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</si>
  <si>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</si>
  <si>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</si>
  <si>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</si>
  <si>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</si>
  <si>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</si>
  <si>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</si>
  <si>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</si>
  <si>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</si>
  <si>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</si>
  <si>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</si>
  <si>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</si>
  <si>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</si>
  <si>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</si>
  <si>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</si>
  <si>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</si>
  <si>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</si>
  <si>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</si>
  <si>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</si>
  <si>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</si>
  <si>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</si>
  <si>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</si>
  <si>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</si>
  <si>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</si>
  <si>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</si>
  <si>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</si>
  <si>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</si>
  <si>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</si>
  <si>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</si>
  <si>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</si>
  <si>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</si>
  <si>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</si>
  <si>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</si>
  <si>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</si>
  <si>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</si>
  <si>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</si>
  <si>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</si>
  <si>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</si>
  <si>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</si>
  <si>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</si>
  <si>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</si>
  <si>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</si>
  <si>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</si>
  <si>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</si>
  <si>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</si>
  <si>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</si>
  <si>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</si>
  <si>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</si>
  <si>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</si>
  <si>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</si>
  <si>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</si>
  <si>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</si>
  <si>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</si>
  <si>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</si>
  <si>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</si>
  <si>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</si>
  <si>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</si>
  <si>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</si>
  <si>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</si>
  <si>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</si>
  <si>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</si>
  <si>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</si>
  <si>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</si>
  <si>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</si>
  <si>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</si>
  <si>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</si>
  <si>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</si>
  <si>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</si>
  <si>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</si>
  <si>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</si>
  <si>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</si>
  <si>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</si>
  <si>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</si>
  <si>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</si>
  <si>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</si>
  <si>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</si>
  <si>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</si>
  <si>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</si>
  <si>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</si>
  <si>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</si>
  <si>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</si>
  <si>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</si>
  <si>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</si>
  <si>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</si>
  <si>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</si>
  <si>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</si>
  <si>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</si>
  <si>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</si>
  <si>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</si>
  <si>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</si>
  <si>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</si>
  <si>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</si>
  <si>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</si>
  <si>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</si>
  <si>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</si>
  <si>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</si>
  <si>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</si>
  <si>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Is conditon</t>
  </si>
  <si>
    <t>if condition</t>
  </si>
  <si>
    <t>round</t>
  </si>
  <si>
    <t>category</t>
  </si>
  <si>
    <t>UNKNOWN</t>
  </si>
  <si>
    <t>Missing Value</t>
  </si>
  <si>
    <t>Correction and inconsistant</t>
  </si>
  <si>
    <t>Pro-correction</t>
  </si>
  <si>
    <t>cat-correciton</t>
  </si>
  <si>
    <t>T-Shirt</t>
  </si>
  <si>
    <t>Produc</t>
  </si>
  <si>
    <t>t</t>
  </si>
  <si>
    <t>ID</t>
  </si>
  <si>
    <t>-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</si>
  <si>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</si>
  <si>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</si>
  <si>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</si>
  <si>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</si>
  <si>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</si>
  <si>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</si>
  <si>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</si>
  <si>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</si>
  <si>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</si>
  <si>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</si>
  <si>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</si>
  <si>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</si>
  <si>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Result</t>
  </si>
  <si>
    <t>Manufacturing Date</t>
  </si>
  <si>
    <t>County Code</t>
  </si>
  <si>
    <t>Product Brand</t>
  </si>
  <si>
    <t/>
  </si>
  <si>
    <t>Laptop Dell</t>
  </si>
  <si>
    <t>product brand</t>
  </si>
  <si>
    <t>Sneakers Nike</t>
  </si>
  <si>
    <t>Coffee Maker Keurig</t>
  </si>
  <si>
    <t>Smartphone Samsung</t>
  </si>
  <si>
    <t>Backpack North Face</t>
  </si>
  <si>
    <t>Headphones Sony</t>
  </si>
  <si>
    <t>T-Shirt Adidas</t>
  </si>
  <si>
    <t>Blender Ninja</t>
  </si>
  <si>
    <t>Tablet Apple</t>
  </si>
  <si>
    <t>Hiking Boots Timberland</t>
  </si>
  <si>
    <t>Laptop HP</t>
  </si>
  <si>
    <t>Sneakers Adidas</t>
  </si>
  <si>
    <t>Coffee Maker Nespresso</t>
  </si>
  <si>
    <t>Smartwatch Fitbit</t>
  </si>
  <si>
    <t>Headphones Bose</t>
  </si>
  <si>
    <t>Laptop Bag Samsonite</t>
  </si>
  <si>
    <t>Smartwatch Huawei</t>
  </si>
  <si>
    <t>Laptop Asus</t>
  </si>
  <si>
    <t>Sunglasses Oakley</t>
  </si>
  <si>
    <t>Camping Tent Coleman</t>
  </si>
  <si>
    <t>Camera Nikon</t>
  </si>
  <si>
    <t>Microwave Panasonic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</si>
  <si>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</si>
  <si>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</si>
  <si>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</si>
  <si>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</si>
  <si>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</si>
  <si>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</si>
  <si>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</si>
  <si>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</si>
  <si>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Watch Casio</t>
  </si>
  <si>
    <t>isblank</t>
  </si>
  <si>
    <t>Price list</t>
  </si>
  <si>
    <t>result</t>
  </si>
  <si>
    <t>1. Handling Missing Values</t>
  </si>
  <si>
    <t>2. Correcting Inconsistent Data</t>
  </si>
  <si>
    <t>3. Removing Duplicates</t>
  </si>
  <si>
    <t>4. Splitting and Merging Data</t>
  </si>
  <si>
    <t>5. Number Formatting</t>
  </si>
  <si>
    <t>6. Conditional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</si>
</sst>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.00"/>
  </numFmts>
  <fonts count="9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20"/>
      <color rgb="FF000000"/>
      <name val="Arial"/>
      <family val="2"/>
      <scheme val="minor"/>
    </font>
    <font>
      <b/>
      <sz val="24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4" borderId="1" xfId="0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16" fontId="0" fillId="6" borderId="1" xfId="0" applyNumberFormat="1" applyFill="1" applyBorder="1"/>
    <xf numFmtId="0" fontId="0" fillId="6" borderId="1" xfId="0" applyFill="1" applyBorder="1"/>
    <xf numFmtId="0" fontId="0" fillId="7" borderId="0" xfId="0" applyFill="1"/>
    <xf numFmtId="0" fontId="4" fillId="0" borderId="0" xfId="0" applyFont="1"/>
    <xf numFmtId="0" fontId="0" fillId="0" borderId="1" xfId="0" applyBorder="1"/>
    <xf numFmtId="0" fontId="0" fillId="8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" fontId="3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6" borderId="0" xfId="0" applyFill="1"/>
    <xf numFmtId="49" fontId="0" fillId="6" borderId="1" xfId="0" applyNumberFormat="1" applyFill="1" applyBorder="1"/>
    <xf numFmtId="49" fontId="2" fillId="4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16" fontId="0" fillId="0" borderId="0" xfId="0" applyNumberFormat="1"/>
    <xf numFmtId="0" fontId="0" fillId="6" borderId="0" xfId="0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52"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51"/>
      <tableStyleElement type="headerRow" dxfId="50"/>
      <tableStyleElement type="totalRow" dxfId="49"/>
      <tableStyleElement type="firstColumn" dxfId="48"/>
      <tableStyleElement type="lastColumn" dxfId="47"/>
      <tableStyleElement type="firstRowStripe" dxfId="46"/>
      <tableStyleElement type="firstColumnStripe" dxfId="45"/>
    </tableStyle>
    <tableStyle name="PivotStylePreset2_Accent1" table="0" count="10" xr9:uid="{267968C8-6FFD-4C36-ACC1-9EA1FD1885CA}">
      <tableStyleElement type="headerRow" dxfId="44"/>
      <tableStyleElement type="totalRow" dxfId="43"/>
      <tableStyleElement type="firstRowStripe" dxfId="42"/>
      <tableStyleElement type="firstColumnStripe" dxfId="41"/>
      <tableStyleElement type="firstSubtotalRow" dxfId="40"/>
      <tableStyleElement type="secondSubtotalRow" dxfId="39"/>
      <tableStyleElement type="firstRowSubheading" dxfId="38"/>
      <tableStyleElement type="secondRowSubheading" dxfId="37"/>
      <tableStyleElement type="pageFieldLabels" dxfId="36"/>
      <tableStyleElement type="pageFieldValues" dxfId="3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0"/>
  <sheetViews>
    <sheetView zoomScale="70" zoomScaleNormal="70" workbookViewId="0">
      <selection activeCell="C7" sqref="C7"/>
    </sheetView>
  </sheetViews>
  <sheetFormatPr defaultColWidth="12.6640625" defaultRowHeight="15" customHeight="1"/>
  <cols>
    <col min="1" max="6" width="12.6640625" customWidth="1"/>
    <col min="15" max="15" width="14.6640625" bestFit="1" customWidth="1"/>
  </cols>
  <sheetData>
    <row r="1" spans="1:1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35" t="s">
        <v>102</v>
      </c>
      <c r="J1" s="35"/>
      <c r="O1" s="35" t="s">
        <v>103</v>
      </c>
      <c r="P1" s="35"/>
    </row>
    <row r="2" spans="1:18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I2" s="35"/>
      <c r="J2" s="35"/>
      <c r="O2" s="35"/>
      <c r="P2" s="35"/>
    </row>
    <row r="3" spans="1:18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H3" s="1" t="s">
        <v>97</v>
      </c>
      <c r="I3" s="1" t="s">
        <v>98</v>
      </c>
      <c r="J3" s="1" t="s">
        <v>99</v>
      </c>
      <c r="K3" s="1" t="s">
        <v>100</v>
      </c>
      <c r="L3" s="2"/>
      <c r="N3" s="1" t="s">
        <v>1</v>
      </c>
      <c r="O3" s="1" t="s">
        <v>5</v>
      </c>
      <c r="Q3" s="1" t="s">
        <v>104</v>
      </c>
      <c r="R3" s="1" t="s">
        <v>105</v>
      </c>
    </row>
    <row r="4" spans="1:18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H4" t="b">
        <f t="shared" ref="H4:H37" si="0">ISBLANK(D2)</f>
        <v>0</v>
      </c>
      <c r="I4">
        <f t="shared" ref="I4:I37" si="1">IF(ISBLANK(D2),AVERAGE($D$2:$D$35),D2)</f>
        <v>1000</v>
      </c>
      <c r="J4">
        <f>ROUND(I4,0)</f>
        <v>1000</v>
      </c>
      <c r="K4" t="str">
        <f t="shared" ref="K4:K37" si="2">IF(ISBLANK(F2),"UNKNOWN",F2)</f>
        <v>Electronics</v>
      </c>
      <c r="L4" s="2"/>
      <c r="N4" s="5" t="s">
        <v>7</v>
      </c>
      <c r="O4" s="4" t="s">
        <v>9</v>
      </c>
      <c r="Q4" s="5" t="str">
        <f t="shared" ref="Q4:Q37" si="3">PROPER(N4)</f>
        <v>Laptop</v>
      </c>
      <c r="R4" s="4" t="s">
        <v>9</v>
      </c>
    </row>
    <row r="5" spans="1:18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H5" t="b">
        <f t="shared" si="0"/>
        <v>0</v>
      </c>
      <c r="I5">
        <f t="shared" si="1"/>
        <v>80</v>
      </c>
      <c r="J5">
        <f t="shared" ref="J5:J37" si="4">ROUND(I5,0)</f>
        <v>80</v>
      </c>
      <c r="K5" t="str">
        <f t="shared" si="2"/>
        <v>Fashion</v>
      </c>
      <c r="L5" s="2"/>
      <c r="N5" s="6" t="s">
        <v>11</v>
      </c>
      <c r="O5" s="4" t="s">
        <v>13</v>
      </c>
      <c r="Q5" s="5" t="str">
        <f t="shared" si="3"/>
        <v>Sneakers</v>
      </c>
      <c r="R5" s="4" t="s">
        <v>13</v>
      </c>
    </row>
    <row r="6" spans="1:18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  <c r="H6" t="b">
        <f t="shared" si="0"/>
        <v>0</v>
      </c>
      <c r="I6">
        <f t="shared" si="1"/>
        <v>130</v>
      </c>
      <c r="J6">
        <f t="shared" si="4"/>
        <v>130</v>
      </c>
      <c r="K6" t="str">
        <f t="shared" si="2"/>
        <v>Kitchen</v>
      </c>
      <c r="N6" s="5" t="s">
        <v>15</v>
      </c>
      <c r="O6" s="4" t="s">
        <v>17</v>
      </c>
      <c r="Q6" s="5" t="str">
        <f t="shared" si="3"/>
        <v>Coffee Maker</v>
      </c>
      <c r="R6" s="4" t="s">
        <v>17</v>
      </c>
    </row>
    <row r="7" spans="1:18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  <c r="H7" t="b">
        <f t="shared" si="0"/>
        <v>0</v>
      </c>
      <c r="I7">
        <f t="shared" si="1"/>
        <v>900</v>
      </c>
      <c r="J7">
        <f t="shared" si="4"/>
        <v>900</v>
      </c>
      <c r="K7" t="str">
        <f t="shared" si="2"/>
        <v>Electronics</v>
      </c>
      <c r="N7" s="6" t="s">
        <v>19</v>
      </c>
      <c r="O7" s="4" t="s">
        <v>9</v>
      </c>
      <c r="Q7" s="5" t="str">
        <f t="shared" si="3"/>
        <v>Smartphone</v>
      </c>
      <c r="R7" s="4" t="s">
        <v>9</v>
      </c>
    </row>
    <row r="8" spans="1:18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H8" t="b">
        <f t="shared" si="0"/>
        <v>0</v>
      </c>
      <c r="I8">
        <f t="shared" si="1"/>
        <v>70</v>
      </c>
      <c r="J8">
        <f t="shared" si="4"/>
        <v>70</v>
      </c>
      <c r="K8" t="str">
        <f t="shared" si="2"/>
        <v>UNKNOWN</v>
      </c>
      <c r="N8" s="5" t="s">
        <v>22</v>
      </c>
      <c r="O8" s="4" t="s">
        <v>101</v>
      </c>
      <c r="Q8" s="5" t="str">
        <f t="shared" si="3"/>
        <v>Backpack</v>
      </c>
      <c r="R8" s="4" t="s">
        <v>101</v>
      </c>
    </row>
    <row r="9" spans="1:18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H9" t="b">
        <f t="shared" si="0"/>
        <v>1</v>
      </c>
      <c r="I9">
        <f t="shared" si="1"/>
        <v>309.35483870967744</v>
      </c>
      <c r="J9">
        <f t="shared" si="4"/>
        <v>309</v>
      </c>
      <c r="K9" t="str">
        <f t="shared" si="2"/>
        <v>Electroni</v>
      </c>
      <c r="N9" s="6" t="s">
        <v>25</v>
      </c>
      <c r="O9" s="4" t="s">
        <v>27</v>
      </c>
      <c r="Q9" s="5" t="str">
        <f t="shared" si="3"/>
        <v>Headphones</v>
      </c>
      <c r="R9" s="4" t="s">
        <v>9</v>
      </c>
    </row>
    <row r="10" spans="1:18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H10" t="b">
        <f t="shared" si="0"/>
        <v>0</v>
      </c>
      <c r="I10">
        <f t="shared" si="1"/>
        <v>30</v>
      </c>
      <c r="J10">
        <f t="shared" si="4"/>
        <v>30</v>
      </c>
      <c r="K10" t="str">
        <f t="shared" si="2"/>
        <v>Fashion</v>
      </c>
      <c r="N10" s="5" t="s">
        <v>29</v>
      </c>
      <c r="O10" s="4" t="s">
        <v>13</v>
      </c>
      <c r="Q10" s="5" t="str">
        <f t="shared" si="3"/>
        <v>T-Shirt</v>
      </c>
      <c r="R10" s="4" t="s">
        <v>13</v>
      </c>
    </row>
    <row r="11" spans="1:18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  <c r="H11" t="b">
        <f t="shared" si="0"/>
        <v>0</v>
      </c>
      <c r="I11">
        <f t="shared" si="1"/>
        <v>90</v>
      </c>
      <c r="J11">
        <f t="shared" si="4"/>
        <v>90</v>
      </c>
      <c r="K11" t="str">
        <f t="shared" si="2"/>
        <v>Kitchen</v>
      </c>
      <c r="N11" s="6" t="s">
        <v>32</v>
      </c>
      <c r="O11" s="4" t="s">
        <v>17</v>
      </c>
      <c r="Q11" s="5" t="str">
        <f t="shared" si="3"/>
        <v>Blender</v>
      </c>
      <c r="R11" s="4" t="s">
        <v>17</v>
      </c>
    </row>
    <row r="12" spans="1:18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  <c r="H12" t="b">
        <f t="shared" si="0"/>
        <v>0</v>
      </c>
      <c r="I12">
        <f t="shared" si="1"/>
        <v>500</v>
      </c>
      <c r="J12">
        <f t="shared" si="4"/>
        <v>500</v>
      </c>
      <c r="K12" t="str">
        <f t="shared" si="2"/>
        <v>Electronics</v>
      </c>
      <c r="N12" s="5" t="s">
        <v>35</v>
      </c>
      <c r="O12" s="4" t="s">
        <v>9</v>
      </c>
      <c r="Q12" s="5" t="str">
        <f t="shared" si="3"/>
        <v>Tablet</v>
      </c>
      <c r="R12" s="4" t="s">
        <v>9</v>
      </c>
    </row>
    <row r="13" spans="1:18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  <c r="H13" t="b">
        <f t="shared" si="0"/>
        <v>0</v>
      </c>
      <c r="I13">
        <f t="shared" si="1"/>
        <v>130</v>
      </c>
      <c r="J13">
        <f t="shared" si="4"/>
        <v>130</v>
      </c>
      <c r="K13" t="str">
        <f t="shared" si="2"/>
        <v>Outdoor</v>
      </c>
      <c r="N13" s="6" t="s">
        <v>38</v>
      </c>
      <c r="O13" s="4" t="s">
        <v>40</v>
      </c>
      <c r="Q13" s="5" t="str">
        <f t="shared" si="3"/>
        <v>Hiking Boots</v>
      </c>
      <c r="R13" s="4" t="s">
        <v>40</v>
      </c>
    </row>
    <row r="14" spans="1:18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  <c r="H14" t="b">
        <f t="shared" si="0"/>
        <v>0</v>
      </c>
      <c r="I14">
        <f t="shared" si="1"/>
        <v>950</v>
      </c>
      <c r="J14">
        <f t="shared" si="4"/>
        <v>950</v>
      </c>
      <c r="K14" t="str">
        <f t="shared" si="2"/>
        <v>Electronics</v>
      </c>
      <c r="N14" s="5" t="s">
        <v>42</v>
      </c>
      <c r="O14" s="4" t="s">
        <v>9</v>
      </c>
      <c r="Q14" s="5" t="str">
        <f t="shared" si="3"/>
        <v>Laptop</v>
      </c>
      <c r="R14" s="4" t="s">
        <v>9</v>
      </c>
    </row>
    <row r="15" spans="1:18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  <c r="H15" t="b">
        <f t="shared" si="0"/>
        <v>0</v>
      </c>
      <c r="I15">
        <f t="shared" si="1"/>
        <v>90</v>
      </c>
      <c r="J15">
        <f t="shared" si="4"/>
        <v>90</v>
      </c>
      <c r="K15" t="str">
        <f t="shared" si="2"/>
        <v>UNKNOWN</v>
      </c>
      <c r="N15" s="6" t="s">
        <v>11</v>
      </c>
      <c r="O15" s="4" t="s">
        <v>101</v>
      </c>
      <c r="Q15" s="5" t="str">
        <f t="shared" si="3"/>
        <v>Sneakers</v>
      </c>
      <c r="R15" s="4" t="s">
        <v>101</v>
      </c>
    </row>
    <row r="16" spans="1:18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  <c r="H16" t="b">
        <f t="shared" si="0"/>
        <v>0</v>
      </c>
      <c r="I16">
        <f t="shared" si="1"/>
        <v>120</v>
      </c>
      <c r="J16">
        <f t="shared" si="4"/>
        <v>120</v>
      </c>
      <c r="K16" t="str">
        <f t="shared" si="2"/>
        <v>UNKNOWN</v>
      </c>
      <c r="N16" s="5" t="s">
        <v>15</v>
      </c>
      <c r="O16" s="4" t="s">
        <v>101</v>
      </c>
      <c r="Q16" s="5" t="str">
        <f t="shared" si="3"/>
        <v>Coffee Maker</v>
      </c>
      <c r="R16" s="4" t="s">
        <v>101</v>
      </c>
    </row>
    <row r="17" spans="1:18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  <c r="H17" t="b">
        <f t="shared" si="0"/>
        <v>0</v>
      </c>
      <c r="I17">
        <f t="shared" si="1"/>
        <v>150</v>
      </c>
      <c r="J17">
        <f t="shared" si="4"/>
        <v>150</v>
      </c>
      <c r="K17" t="str">
        <f t="shared" si="2"/>
        <v>Electroni</v>
      </c>
      <c r="N17" s="6" t="s">
        <v>48</v>
      </c>
      <c r="O17" s="4" t="s">
        <v>27</v>
      </c>
      <c r="Q17" s="5" t="str">
        <f t="shared" si="3"/>
        <v>Smartwatch</v>
      </c>
      <c r="R17" s="4" t="s">
        <v>9</v>
      </c>
    </row>
    <row r="18" spans="1:18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  <c r="H18" t="b">
        <f t="shared" si="0"/>
        <v>0</v>
      </c>
      <c r="I18">
        <f t="shared" si="1"/>
        <v>250</v>
      </c>
      <c r="J18">
        <f t="shared" si="4"/>
        <v>250</v>
      </c>
      <c r="K18" t="str">
        <f t="shared" si="2"/>
        <v>Electroni</v>
      </c>
      <c r="N18" s="5" t="s">
        <v>51</v>
      </c>
      <c r="O18" s="4" t="s">
        <v>27</v>
      </c>
      <c r="Q18" s="5" t="str">
        <f t="shared" si="3"/>
        <v>Headphones</v>
      </c>
      <c r="R18" s="4" t="s">
        <v>9</v>
      </c>
    </row>
    <row r="19" spans="1:18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  <c r="H19" t="b">
        <f t="shared" si="0"/>
        <v>0</v>
      </c>
      <c r="I19">
        <f t="shared" si="1"/>
        <v>50</v>
      </c>
      <c r="J19">
        <f t="shared" si="4"/>
        <v>50</v>
      </c>
      <c r="K19" t="str">
        <f t="shared" si="2"/>
        <v>Accessories</v>
      </c>
      <c r="N19" s="6" t="s">
        <v>54</v>
      </c>
      <c r="O19" s="4" t="s">
        <v>56</v>
      </c>
      <c r="Q19" s="5" t="str">
        <f t="shared" si="3"/>
        <v>Laptop Bag</v>
      </c>
      <c r="R19" s="4" t="s">
        <v>56</v>
      </c>
    </row>
    <row r="20" spans="1:18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  <c r="H20" t="b">
        <f t="shared" si="0"/>
        <v>0</v>
      </c>
      <c r="I20">
        <f t="shared" si="1"/>
        <v>160</v>
      </c>
      <c r="J20">
        <f t="shared" si="4"/>
        <v>160</v>
      </c>
      <c r="K20" t="str">
        <f t="shared" si="2"/>
        <v>Electroni</v>
      </c>
      <c r="N20" s="5" t="s">
        <v>48</v>
      </c>
      <c r="O20" s="4" t="s">
        <v>27</v>
      </c>
      <c r="Q20" s="5" t="str">
        <f t="shared" si="3"/>
        <v>Smartwatch</v>
      </c>
      <c r="R20" s="4" t="s">
        <v>9</v>
      </c>
    </row>
    <row r="21" spans="1:18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  <c r="H21" t="b">
        <f t="shared" si="0"/>
        <v>0</v>
      </c>
      <c r="I21">
        <f t="shared" si="1"/>
        <v>980</v>
      </c>
      <c r="J21">
        <f t="shared" si="4"/>
        <v>980</v>
      </c>
      <c r="K21" t="str">
        <f t="shared" si="2"/>
        <v>Electronics</v>
      </c>
      <c r="N21" s="6" t="s">
        <v>7</v>
      </c>
      <c r="O21" s="4" t="s">
        <v>9</v>
      </c>
      <c r="Q21" s="5" t="str">
        <f t="shared" si="3"/>
        <v>Laptop</v>
      </c>
      <c r="R21" s="4" t="s">
        <v>9</v>
      </c>
    </row>
    <row r="22" spans="1:18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  <c r="H22" t="b">
        <f t="shared" si="0"/>
        <v>0</v>
      </c>
      <c r="I22">
        <f t="shared" si="1"/>
        <v>150</v>
      </c>
      <c r="J22">
        <f t="shared" si="4"/>
        <v>150</v>
      </c>
      <c r="K22" t="str">
        <f t="shared" si="2"/>
        <v>Fashion</v>
      </c>
      <c r="N22" s="5" t="s">
        <v>62</v>
      </c>
      <c r="O22" s="4" t="s">
        <v>13</v>
      </c>
      <c r="Q22" s="5" t="str">
        <f t="shared" si="3"/>
        <v>Sunglasses</v>
      </c>
      <c r="R22" s="4" t="s">
        <v>13</v>
      </c>
    </row>
    <row r="23" spans="1:18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  <c r="H23" t="b">
        <f t="shared" si="0"/>
        <v>1</v>
      </c>
      <c r="I23">
        <f t="shared" si="1"/>
        <v>309.35483870967744</v>
      </c>
      <c r="J23">
        <f t="shared" si="4"/>
        <v>309</v>
      </c>
      <c r="K23" t="str">
        <f t="shared" si="2"/>
        <v>Outdoor</v>
      </c>
      <c r="N23" s="6" t="s">
        <v>65</v>
      </c>
      <c r="O23" s="4" t="s">
        <v>40</v>
      </c>
      <c r="Q23" s="5" t="str">
        <f t="shared" si="3"/>
        <v>Camping Tent</v>
      </c>
      <c r="R23" s="4" t="s">
        <v>40</v>
      </c>
    </row>
    <row r="24" spans="1:18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  <c r="H24" t="b">
        <f t="shared" si="0"/>
        <v>0</v>
      </c>
      <c r="I24">
        <f t="shared" si="1"/>
        <v>700</v>
      </c>
      <c r="J24">
        <f t="shared" si="4"/>
        <v>700</v>
      </c>
      <c r="K24" t="str">
        <f t="shared" si="2"/>
        <v>Electronics</v>
      </c>
      <c r="N24" s="5" t="s">
        <v>68</v>
      </c>
      <c r="O24" s="4" t="s">
        <v>9</v>
      </c>
      <c r="Q24" s="5" t="str">
        <f t="shared" si="3"/>
        <v>Camera</v>
      </c>
      <c r="R24" s="4" t="s">
        <v>9</v>
      </c>
    </row>
    <row r="25" spans="1:18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  <c r="H25" t="b">
        <f t="shared" si="0"/>
        <v>0</v>
      </c>
      <c r="I25">
        <f t="shared" si="1"/>
        <v>80</v>
      </c>
      <c r="J25">
        <f t="shared" si="4"/>
        <v>80</v>
      </c>
      <c r="K25" t="str">
        <f t="shared" si="2"/>
        <v>Kitchen</v>
      </c>
      <c r="N25" s="6" t="s">
        <v>71</v>
      </c>
      <c r="O25" s="4" t="s">
        <v>17</v>
      </c>
      <c r="Q25" s="5" t="str">
        <f t="shared" si="3"/>
        <v>Microwave</v>
      </c>
      <c r="R25" s="4" t="s">
        <v>17</v>
      </c>
    </row>
    <row r="26" spans="1:18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  <c r="H26" t="b">
        <f t="shared" si="0"/>
        <v>0</v>
      </c>
      <c r="I26">
        <f t="shared" si="1"/>
        <v>150</v>
      </c>
      <c r="J26">
        <f t="shared" si="4"/>
        <v>150</v>
      </c>
      <c r="K26" t="str">
        <f t="shared" si="2"/>
        <v>UNKNOWN</v>
      </c>
      <c r="N26" s="5" t="s">
        <v>74</v>
      </c>
      <c r="O26" s="4" t="s">
        <v>101</v>
      </c>
      <c r="Q26" s="5" t="str">
        <f t="shared" si="3"/>
        <v>Fitness Tracker</v>
      </c>
      <c r="R26" s="4" t="s">
        <v>101</v>
      </c>
    </row>
    <row r="27" spans="1:18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  <c r="H27" t="b">
        <f t="shared" si="0"/>
        <v>0</v>
      </c>
      <c r="I27">
        <f t="shared" si="1"/>
        <v>50</v>
      </c>
      <c r="J27">
        <f t="shared" si="4"/>
        <v>50</v>
      </c>
      <c r="K27" t="str">
        <f t="shared" si="2"/>
        <v>Accessories</v>
      </c>
      <c r="N27" s="6" t="s">
        <v>54</v>
      </c>
      <c r="O27" s="4" t="s">
        <v>56</v>
      </c>
      <c r="Q27" s="5" t="str">
        <f t="shared" si="3"/>
        <v>Laptop Bag</v>
      </c>
      <c r="R27" s="4" t="s">
        <v>56</v>
      </c>
    </row>
    <row r="28" spans="1:18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  <c r="H28" t="b">
        <f t="shared" si="0"/>
        <v>0</v>
      </c>
      <c r="I28">
        <f t="shared" si="1"/>
        <v>800</v>
      </c>
      <c r="J28">
        <f t="shared" si="4"/>
        <v>800</v>
      </c>
      <c r="K28" t="str">
        <f t="shared" si="2"/>
        <v>Electronics</v>
      </c>
      <c r="N28" s="5" t="s">
        <v>77</v>
      </c>
      <c r="O28" s="4" t="s">
        <v>9</v>
      </c>
      <c r="Q28" s="5" t="str">
        <f t="shared" si="3"/>
        <v>Smartphone</v>
      </c>
      <c r="R28" s="4" t="s">
        <v>9</v>
      </c>
    </row>
    <row r="29" spans="1:18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  <c r="H29" t="b">
        <f t="shared" si="0"/>
        <v>1</v>
      </c>
      <c r="I29">
        <f t="shared" si="1"/>
        <v>309.35483870967744</v>
      </c>
      <c r="J29">
        <f t="shared" si="4"/>
        <v>309</v>
      </c>
      <c r="K29" t="str">
        <f t="shared" si="2"/>
        <v>Fashion</v>
      </c>
      <c r="N29" s="6" t="s">
        <v>62</v>
      </c>
      <c r="O29" s="4" t="s">
        <v>13</v>
      </c>
      <c r="Q29" s="5" t="str">
        <f t="shared" si="3"/>
        <v>Sunglasses</v>
      </c>
      <c r="R29" s="4" t="s">
        <v>13</v>
      </c>
    </row>
    <row r="30" spans="1:18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  <c r="H30" t="b">
        <f t="shared" si="0"/>
        <v>0</v>
      </c>
      <c r="I30">
        <f t="shared" si="1"/>
        <v>400</v>
      </c>
      <c r="J30">
        <f t="shared" si="4"/>
        <v>400</v>
      </c>
      <c r="K30" t="str">
        <f t="shared" si="2"/>
        <v>Kitchen</v>
      </c>
      <c r="N30" s="5" t="s">
        <v>32</v>
      </c>
      <c r="O30" s="4" t="s">
        <v>17</v>
      </c>
      <c r="Q30" s="5" t="str">
        <f t="shared" si="3"/>
        <v>Blender</v>
      </c>
      <c r="R30" s="4" t="s">
        <v>17</v>
      </c>
    </row>
    <row r="31" spans="1:18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  <c r="H31" t="b">
        <f t="shared" si="0"/>
        <v>0</v>
      </c>
      <c r="I31">
        <f t="shared" si="1"/>
        <v>250</v>
      </c>
      <c r="J31">
        <f t="shared" si="4"/>
        <v>250</v>
      </c>
      <c r="K31" t="str">
        <f t="shared" si="2"/>
        <v>Electroni</v>
      </c>
      <c r="N31" s="6" t="s">
        <v>51</v>
      </c>
      <c r="O31" s="4" t="s">
        <v>27</v>
      </c>
      <c r="Q31" s="5" t="str">
        <f t="shared" si="3"/>
        <v>Headphones</v>
      </c>
      <c r="R31" s="4" t="s">
        <v>9</v>
      </c>
    </row>
    <row r="32" spans="1:18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  <c r="H32" t="b">
        <f t="shared" si="0"/>
        <v>0</v>
      </c>
      <c r="I32">
        <f t="shared" si="1"/>
        <v>60</v>
      </c>
      <c r="J32">
        <f t="shared" si="4"/>
        <v>60</v>
      </c>
      <c r="K32" t="str">
        <f t="shared" si="2"/>
        <v>Fashion</v>
      </c>
      <c r="N32" s="5" t="s">
        <v>84</v>
      </c>
      <c r="O32" s="4" t="s">
        <v>13</v>
      </c>
      <c r="Q32" s="5" t="str">
        <f t="shared" si="3"/>
        <v>Dress</v>
      </c>
      <c r="R32" s="4" t="s">
        <v>13</v>
      </c>
    </row>
    <row r="33" spans="1:18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  <c r="H33" t="b">
        <f t="shared" si="0"/>
        <v>0</v>
      </c>
      <c r="I33">
        <f t="shared" si="1"/>
        <v>40</v>
      </c>
      <c r="J33">
        <f t="shared" si="4"/>
        <v>40</v>
      </c>
      <c r="K33" t="str">
        <f t="shared" si="2"/>
        <v>Kitchen</v>
      </c>
      <c r="N33" s="6" t="s">
        <v>87</v>
      </c>
      <c r="O33" s="4" t="s">
        <v>17</v>
      </c>
      <c r="Q33" s="5" t="str">
        <f t="shared" si="3"/>
        <v>Toaster</v>
      </c>
      <c r="R33" s="4" t="s">
        <v>17</v>
      </c>
    </row>
    <row r="34" spans="1:18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  <c r="H34" t="b">
        <f t="shared" si="0"/>
        <v>0</v>
      </c>
      <c r="I34">
        <f t="shared" si="1"/>
        <v>130</v>
      </c>
      <c r="J34">
        <f t="shared" si="4"/>
        <v>130</v>
      </c>
      <c r="K34" t="str">
        <f t="shared" si="2"/>
        <v>Electronics</v>
      </c>
      <c r="N34" s="5" t="s">
        <v>74</v>
      </c>
      <c r="O34" s="4" t="s">
        <v>9</v>
      </c>
      <c r="Q34" s="5" t="str">
        <f t="shared" si="3"/>
        <v>Fitness Tracker</v>
      </c>
      <c r="R34" s="4" t="s">
        <v>9</v>
      </c>
    </row>
    <row r="35" spans="1:18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  <c r="H35" t="b">
        <f t="shared" si="0"/>
        <v>0</v>
      </c>
      <c r="I35">
        <f t="shared" si="1"/>
        <v>50</v>
      </c>
      <c r="J35">
        <f t="shared" si="4"/>
        <v>50</v>
      </c>
      <c r="K35" t="str">
        <f t="shared" si="2"/>
        <v>Fashion</v>
      </c>
      <c r="N35" s="6" t="s">
        <v>92</v>
      </c>
      <c r="O35" s="4" t="s">
        <v>13</v>
      </c>
      <c r="Q35" s="5" t="str">
        <f t="shared" si="3"/>
        <v>Jeans</v>
      </c>
      <c r="R35" s="4" t="s">
        <v>13</v>
      </c>
    </row>
    <row r="36" spans="1:18" ht="15.75" customHeight="1">
      <c r="H36" t="b">
        <f t="shared" si="0"/>
        <v>0</v>
      </c>
      <c r="I36">
        <f t="shared" si="1"/>
        <v>950</v>
      </c>
      <c r="J36">
        <f t="shared" si="4"/>
        <v>950</v>
      </c>
      <c r="K36" t="str">
        <f t="shared" si="2"/>
        <v>Electronics</v>
      </c>
      <c r="N36" s="5" t="s">
        <v>42</v>
      </c>
      <c r="O36" s="4" t="s">
        <v>9</v>
      </c>
      <c r="Q36" s="5" t="str">
        <f t="shared" si="3"/>
        <v>Laptop</v>
      </c>
      <c r="R36" s="4" t="s">
        <v>9</v>
      </c>
    </row>
    <row r="37" spans="1:18" ht="15.75" customHeight="1">
      <c r="H37" t="b">
        <f t="shared" si="0"/>
        <v>0</v>
      </c>
      <c r="I37">
        <f t="shared" si="1"/>
        <v>100</v>
      </c>
      <c r="J37">
        <f t="shared" si="4"/>
        <v>100</v>
      </c>
      <c r="K37" t="str">
        <f t="shared" si="2"/>
        <v>Accessories</v>
      </c>
      <c r="N37" s="6" t="s">
        <v>95</v>
      </c>
      <c r="O37" s="4" t="s">
        <v>56</v>
      </c>
      <c r="Q37" s="5" t="str">
        <f t="shared" si="3"/>
        <v>Watch</v>
      </c>
      <c r="R37" s="4" t="s">
        <v>56</v>
      </c>
    </row>
    <row r="38" spans="1:18" ht="15.75" customHeight="1"/>
    <row r="39" spans="1:18" ht="15.75" customHeight="1"/>
    <row r="40" spans="1:18" ht="15.75" customHeight="1"/>
    <row r="41" spans="1:18" ht="15.75" customHeight="1"/>
    <row r="42" spans="1:18" ht="15.75" customHeight="1"/>
    <row r="43" spans="1:18" ht="15.75" customHeight="1"/>
    <row r="44" spans="1:18" ht="15.75" customHeight="1"/>
    <row r="45" spans="1:18" ht="15.75" customHeight="1"/>
    <row r="46" spans="1:18" ht="15.75" customHeight="1"/>
    <row r="47" spans="1:18" ht="15.75" customHeight="1"/>
    <row r="48" spans="1:1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I1:J2"/>
    <mergeCell ref="O1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39157-F9F8-4C75-A084-3A7A8AFE42B0}">
  <dimension ref="A1:T35"/>
  <sheetViews>
    <sheetView workbookViewId="0">
      <selection activeCell="H9" sqref="H9"/>
    </sheetView>
  </sheetViews>
  <sheetFormatPr defaultRowHeight="13.2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  <col min="15" max="15" width="6.44140625" customWidth="1"/>
    <col min="20" max="20" width="13.218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6" t="s">
        <v>160</v>
      </c>
      <c r="J1" s="16" t="s">
        <v>161</v>
      </c>
      <c r="K1" s="16" t="s">
        <v>162</v>
      </c>
      <c r="M1" s="16" t="s">
        <v>5</v>
      </c>
    </row>
    <row r="2" spans="1:20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I2" t="b">
        <f>ISBLANK(D2)</f>
        <v>0</v>
      </c>
      <c r="J2">
        <f>IF(ISBLANK(D2),AVERAGE($D$2:$D$35),D2)</f>
        <v>1000</v>
      </c>
      <c r="K2" s="29">
        <f>ROUND(J2,0)</f>
        <v>1000</v>
      </c>
      <c r="M2" s="29" t="str">
        <f>IF(ISBLANK(F2),"UNKNOWN",F2)</f>
        <v>Electronics</v>
      </c>
    </row>
    <row r="3" spans="1:20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t="b">
        <f t="shared" ref="I3:I35" si="0">ISBLANK(D3)</f>
        <v>0</v>
      </c>
      <c r="J3">
        <f t="shared" ref="J3:J35" si="1">IF(ISBLANK(D3),AVERAGE($D$2:$D$35),D3)</f>
        <v>80</v>
      </c>
      <c r="K3" s="29">
        <f t="shared" ref="K3:K35" si="2">ROUND(J3,0)</f>
        <v>80</v>
      </c>
      <c r="M3" s="29" t="str">
        <f t="shared" ref="M3:M35" si="3">IF(ISBLANK(F3),"UNKNOWN",F3)</f>
        <v>Fashion</v>
      </c>
    </row>
    <row r="4" spans="1:20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t="b">
        <f t="shared" si="0"/>
        <v>0</v>
      </c>
      <c r="J4">
        <f t="shared" si="1"/>
        <v>130</v>
      </c>
      <c r="K4" s="29">
        <f t="shared" si="2"/>
        <v>130</v>
      </c>
      <c r="M4" s="29" t="str">
        <f t="shared" si="3"/>
        <v>Kitchen</v>
      </c>
    </row>
    <row r="5" spans="1:20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t="b">
        <f t="shared" si="0"/>
        <v>0</v>
      </c>
      <c r="J5">
        <f t="shared" si="1"/>
        <v>900</v>
      </c>
      <c r="K5" s="29">
        <f t="shared" si="2"/>
        <v>900</v>
      </c>
      <c r="M5" s="29" t="str">
        <f t="shared" si="3"/>
        <v>Electronics</v>
      </c>
    </row>
    <row r="6" spans="1:20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  <c r="I6" t="b">
        <f t="shared" si="0"/>
        <v>0</v>
      </c>
      <c r="J6">
        <f t="shared" si="1"/>
        <v>70</v>
      </c>
      <c r="K6" s="29">
        <f t="shared" si="2"/>
        <v>70</v>
      </c>
      <c r="M6" s="29" t="str">
        <f t="shared" si="3"/>
        <v>UNKNOWN</v>
      </c>
    </row>
    <row r="7" spans="1:20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  <c r="I7" t="b">
        <f t="shared" si="0"/>
        <v>1</v>
      </c>
      <c r="J7">
        <f t="shared" si="1"/>
        <v>309.35483870967744</v>
      </c>
      <c r="K7" s="29">
        <f t="shared" si="2"/>
        <v>309</v>
      </c>
      <c r="M7" s="29" t="str">
        <f t="shared" si="3"/>
        <v>Electroni</v>
      </c>
    </row>
    <row r="8" spans="1:20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I8" t="b">
        <f t="shared" si="0"/>
        <v>0</v>
      </c>
      <c r="J8">
        <f t="shared" si="1"/>
        <v>30</v>
      </c>
      <c r="K8" s="29">
        <f t="shared" si="2"/>
        <v>30</v>
      </c>
      <c r="M8" s="29" t="str">
        <f t="shared" si="3"/>
        <v>Fashion</v>
      </c>
    </row>
    <row r="9" spans="1:20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I9" t="b">
        <f t="shared" si="0"/>
        <v>0</v>
      </c>
      <c r="J9">
        <f t="shared" si="1"/>
        <v>90</v>
      </c>
      <c r="K9" s="29">
        <f t="shared" si="2"/>
        <v>90</v>
      </c>
      <c r="M9" s="29" t="str">
        <f t="shared" si="3"/>
        <v>Kitchen</v>
      </c>
      <c r="P9" s="36" t="s">
        <v>163</v>
      </c>
      <c r="Q9" s="36"/>
      <c r="R9" s="36"/>
      <c r="S9" s="36"/>
      <c r="T9" s="36"/>
    </row>
    <row r="10" spans="1:20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I10" t="b">
        <f t="shared" si="0"/>
        <v>0</v>
      </c>
      <c r="J10">
        <f t="shared" si="1"/>
        <v>500</v>
      </c>
      <c r="K10" s="29">
        <f t="shared" si="2"/>
        <v>500</v>
      </c>
      <c r="M10" s="29" t="str">
        <f t="shared" si="3"/>
        <v>Electronics</v>
      </c>
      <c r="P10" s="36"/>
      <c r="Q10" s="36"/>
      <c r="R10" s="36"/>
      <c r="S10" s="36"/>
      <c r="T10" s="36"/>
    </row>
    <row r="11" spans="1:20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  <c r="I11" t="b">
        <f t="shared" si="0"/>
        <v>0</v>
      </c>
      <c r="J11">
        <f t="shared" si="1"/>
        <v>130</v>
      </c>
      <c r="K11" s="29">
        <f t="shared" si="2"/>
        <v>130</v>
      </c>
      <c r="M11" s="29" t="str">
        <f t="shared" si="3"/>
        <v>Outdoor</v>
      </c>
      <c r="P11" s="36"/>
      <c r="Q11" s="36"/>
      <c r="R11" s="36"/>
      <c r="S11" s="36"/>
      <c r="T11" s="36"/>
    </row>
    <row r="12" spans="1:20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  <c r="I12" t="b">
        <f t="shared" si="0"/>
        <v>0</v>
      </c>
      <c r="J12">
        <f t="shared" si="1"/>
        <v>950</v>
      </c>
      <c r="K12" s="29">
        <f t="shared" si="2"/>
        <v>950</v>
      </c>
      <c r="M12" s="29" t="str">
        <f t="shared" si="3"/>
        <v>Electronics</v>
      </c>
      <c r="P12" s="36"/>
      <c r="Q12" s="36"/>
      <c r="R12" s="36"/>
      <c r="S12" s="36"/>
      <c r="T12" s="36"/>
    </row>
    <row r="13" spans="1:20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  <c r="I13" t="b">
        <f t="shared" si="0"/>
        <v>0</v>
      </c>
      <c r="J13">
        <f t="shared" si="1"/>
        <v>90</v>
      </c>
      <c r="K13" s="29">
        <f t="shared" si="2"/>
        <v>90</v>
      </c>
      <c r="M13" s="29" t="str">
        <f t="shared" si="3"/>
        <v>UNKNOWN</v>
      </c>
    </row>
    <row r="14" spans="1:20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  <c r="I14" t="b">
        <f t="shared" si="0"/>
        <v>0</v>
      </c>
      <c r="J14">
        <f t="shared" si="1"/>
        <v>120</v>
      </c>
      <c r="K14" s="29">
        <f t="shared" si="2"/>
        <v>120</v>
      </c>
      <c r="M14" s="29" t="str">
        <f t="shared" si="3"/>
        <v>UNKNOWN</v>
      </c>
    </row>
    <row r="15" spans="1:20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  <c r="I15" t="b">
        <f t="shared" si="0"/>
        <v>0</v>
      </c>
      <c r="J15">
        <f t="shared" si="1"/>
        <v>150</v>
      </c>
      <c r="K15" s="29">
        <f t="shared" si="2"/>
        <v>150</v>
      </c>
      <c r="M15" s="29" t="str">
        <f t="shared" si="3"/>
        <v>Electroni</v>
      </c>
    </row>
    <row r="16" spans="1:20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  <c r="I16" t="b">
        <f t="shared" si="0"/>
        <v>0</v>
      </c>
      <c r="J16">
        <f t="shared" si="1"/>
        <v>250</v>
      </c>
      <c r="K16" s="29">
        <f t="shared" si="2"/>
        <v>250</v>
      </c>
      <c r="M16" s="29" t="str">
        <f t="shared" si="3"/>
        <v>Electroni</v>
      </c>
    </row>
    <row r="17" spans="1:13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  <c r="I17" t="b">
        <f t="shared" si="0"/>
        <v>0</v>
      </c>
      <c r="J17">
        <f t="shared" si="1"/>
        <v>50</v>
      </c>
      <c r="K17" s="29">
        <f t="shared" si="2"/>
        <v>50</v>
      </c>
      <c r="M17" s="29" t="str">
        <f t="shared" si="3"/>
        <v>Accessories</v>
      </c>
    </row>
    <row r="18" spans="1:13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  <c r="I18" t="b">
        <f t="shared" si="0"/>
        <v>0</v>
      </c>
      <c r="J18">
        <f t="shared" si="1"/>
        <v>160</v>
      </c>
      <c r="K18" s="29">
        <f t="shared" si="2"/>
        <v>160</v>
      </c>
      <c r="M18" s="29" t="str">
        <f t="shared" si="3"/>
        <v>Electroni</v>
      </c>
    </row>
    <row r="19" spans="1:13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  <c r="I19" t="b">
        <f t="shared" si="0"/>
        <v>0</v>
      </c>
      <c r="J19">
        <f t="shared" si="1"/>
        <v>980</v>
      </c>
      <c r="K19" s="29">
        <f t="shared" si="2"/>
        <v>980</v>
      </c>
      <c r="M19" s="29" t="str">
        <f t="shared" si="3"/>
        <v>Electronics</v>
      </c>
    </row>
    <row r="20" spans="1:13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  <c r="I20" t="b">
        <f t="shared" si="0"/>
        <v>0</v>
      </c>
      <c r="J20">
        <f t="shared" si="1"/>
        <v>150</v>
      </c>
      <c r="K20" s="29">
        <f t="shared" si="2"/>
        <v>150</v>
      </c>
      <c r="M20" s="29" t="str">
        <f t="shared" si="3"/>
        <v>Fashion</v>
      </c>
    </row>
    <row r="21" spans="1:13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  <c r="I21" t="b">
        <f t="shared" si="0"/>
        <v>1</v>
      </c>
      <c r="J21">
        <f t="shared" si="1"/>
        <v>309.35483870967744</v>
      </c>
      <c r="K21" s="29">
        <f t="shared" si="2"/>
        <v>309</v>
      </c>
      <c r="M21" s="29" t="str">
        <f t="shared" si="3"/>
        <v>Outdoor</v>
      </c>
    </row>
    <row r="22" spans="1:13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  <c r="I22" t="b">
        <f t="shared" si="0"/>
        <v>0</v>
      </c>
      <c r="J22">
        <f t="shared" si="1"/>
        <v>700</v>
      </c>
      <c r="K22" s="29">
        <f t="shared" si="2"/>
        <v>700</v>
      </c>
      <c r="M22" s="29" t="str">
        <f t="shared" si="3"/>
        <v>Electronics</v>
      </c>
    </row>
    <row r="23" spans="1:13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  <c r="I23" t="b">
        <f t="shared" si="0"/>
        <v>0</v>
      </c>
      <c r="J23">
        <f t="shared" si="1"/>
        <v>80</v>
      </c>
      <c r="K23" s="29">
        <f t="shared" si="2"/>
        <v>80</v>
      </c>
      <c r="M23" s="29" t="str">
        <f t="shared" si="3"/>
        <v>Kitchen</v>
      </c>
    </row>
    <row r="24" spans="1:13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  <c r="I24" t="b">
        <f t="shared" si="0"/>
        <v>0</v>
      </c>
      <c r="J24">
        <f t="shared" si="1"/>
        <v>150</v>
      </c>
      <c r="K24" s="29">
        <f t="shared" si="2"/>
        <v>150</v>
      </c>
      <c r="M24" s="29" t="str">
        <f t="shared" si="3"/>
        <v>UNKNOWN</v>
      </c>
    </row>
    <row r="25" spans="1:13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  <c r="I25" t="b">
        <f t="shared" si="0"/>
        <v>0</v>
      </c>
      <c r="J25">
        <f t="shared" si="1"/>
        <v>50</v>
      </c>
      <c r="K25" s="29">
        <f t="shared" si="2"/>
        <v>50</v>
      </c>
      <c r="M25" s="29" t="str">
        <f t="shared" si="3"/>
        <v>Accessories</v>
      </c>
    </row>
    <row r="26" spans="1:13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  <c r="I26" t="b">
        <f t="shared" si="0"/>
        <v>0</v>
      </c>
      <c r="J26">
        <f t="shared" si="1"/>
        <v>800</v>
      </c>
      <c r="K26" s="29">
        <f t="shared" si="2"/>
        <v>800</v>
      </c>
      <c r="M26" s="29" t="str">
        <f t="shared" si="3"/>
        <v>Electronics</v>
      </c>
    </row>
    <row r="27" spans="1:13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  <c r="I27" t="b">
        <f t="shared" si="0"/>
        <v>1</v>
      </c>
      <c r="J27">
        <f t="shared" si="1"/>
        <v>309.35483870967744</v>
      </c>
      <c r="K27" s="29">
        <f t="shared" si="2"/>
        <v>309</v>
      </c>
      <c r="M27" s="29" t="str">
        <f t="shared" si="3"/>
        <v>Fashion</v>
      </c>
    </row>
    <row r="28" spans="1:13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  <c r="I28" t="b">
        <f t="shared" si="0"/>
        <v>0</v>
      </c>
      <c r="J28">
        <f t="shared" si="1"/>
        <v>400</v>
      </c>
      <c r="K28" s="29">
        <f t="shared" si="2"/>
        <v>400</v>
      </c>
      <c r="M28" s="29" t="str">
        <f t="shared" si="3"/>
        <v>Kitchen</v>
      </c>
    </row>
    <row r="29" spans="1:13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  <c r="I29" t="b">
        <f t="shared" si="0"/>
        <v>0</v>
      </c>
      <c r="J29">
        <f t="shared" si="1"/>
        <v>250</v>
      </c>
      <c r="K29" s="29">
        <f t="shared" si="2"/>
        <v>250</v>
      </c>
      <c r="M29" s="29" t="str">
        <f t="shared" si="3"/>
        <v>Electroni</v>
      </c>
    </row>
    <row r="30" spans="1:13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  <c r="I30" t="b">
        <f t="shared" si="0"/>
        <v>0</v>
      </c>
      <c r="J30">
        <f t="shared" si="1"/>
        <v>60</v>
      </c>
      <c r="K30" s="29">
        <f t="shared" si="2"/>
        <v>60</v>
      </c>
      <c r="M30" s="29" t="str">
        <f t="shared" si="3"/>
        <v>Fashion</v>
      </c>
    </row>
    <row r="31" spans="1:13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  <c r="I31" t="b">
        <f t="shared" si="0"/>
        <v>0</v>
      </c>
      <c r="J31">
        <f t="shared" si="1"/>
        <v>40</v>
      </c>
      <c r="K31" s="29">
        <f t="shared" si="2"/>
        <v>40</v>
      </c>
      <c r="M31" s="29" t="str">
        <f t="shared" si="3"/>
        <v>Kitchen</v>
      </c>
    </row>
    <row r="32" spans="1:13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  <c r="I32" t="b">
        <f t="shared" si="0"/>
        <v>0</v>
      </c>
      <c r="J32">
        <f t="shared" si="1"/>
        <v>130</v>
      </c>
      <c r="K32" s="29">
        <f t="shared" si="2"/>
        <v>130</v>
      </c>
      <c r="M32" s="29" t="str">
        <f t="shared" si="3"/>
        <v>Electronics</v>
      </c>
    </row>
    <row r="33" spans="1:13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  <c r="I33" t="b">
        <f t="shared" si="0"/>
        <v>0</v>
      </c>
      <c r="J33">
        <f t="shared" si="1"/>
        <v>50</v>
      </c>
      <c r="K33" s="29">
        <f t="shared" si="2"/>
        <v>50</v>
      </c>
      <c r="M33" s="29" t="str">
        <f t="shared" si="3"/>
        <v>Fashion</v>
      </c>
    </row>
    <row r="34" spans="1:13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  <c r="I34" t="b">
        <f t="shared" si="0"/>
        <v>0</v>
      </c>
      <c r="J34">
        <f t="shared" si="1"/>
        <v>950</v>
      </c>
      <c r="K34" s="29">
        <f t="shared" si="2"/>
        <v>950</v>
      </c>
      <c r="M34" s="29" t="str">
        <f t="shared" si="3"/>
        <v>Electronics</v>
      </c>
    </row>
    <row r="35" spans="1:13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  <c r="I35" t="b">
        <f t="shared" si="0"/>
        <v>0</v>
      </c>
      <c r="J35">
        <f t="shared" si="1"/>
        <v>100</v>
      </c>
      <c r="K35" s="29">
        <f t="shared" si="2"/>
        <v>100</v>
      </c>
      <c r="M35" s="29" t="str">
        <f t="shared" si="3"/>
        <v>Accessories</v>
      </c>
    </row>
  </sheetData>
  <mergeCells count="1">
    <mergeCell ref="P9:T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EC455-9630-4B42-B239-C9CDB979A494}">
  <dimension ref="A1:S35"/>
  <sheetViews>
    <sheetView workbookViewId="0">
      <selection activeCell="J6" sqref="J6"/>
    </sheetView>
  </sheetViews>
  <sheetFormatPr defaultRowHeight="13.2"/>
  <cols>
    <col min="1" max="1" width="10.77734375" style="10" bestFit="1" customWidth="1"/>
    <col min="2" max="2" width="13.6640625" style="10" bestFit="1" customWidth="1"/>
    <col min="3" max="3" width="11.77734375" style="10" bestFit="1" customWidth="1"/>
    <col min="4" max="5" width="8.88671875" style="10"/>
    <col min="6" max="6" width="11" style="10" bestFit="1" customWidth="1"/>
    <col min="10" max="10" width="11" bestFit="1" customWidth="1"/>
    <col min="19" max="19" width="11.88671875" customWidth="1"/>
  </cols>
  <sheetData>
    <row r="1" spans="1:19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H1" s="16" t="s">
        <v>1</v>
      </c>
      <c r="J1" s="16" t="s">
        <v>5</v>
      </c>
    </row>
    <row r="2" spans="1:19">
      <c r="A2" s="7" t="s">
        <v>6</v>
      </c>
      <c r="B2" s="5" t="s">
        <v>7</v>
      </c>
      <c r="C2" s="7" t="s">
        <v>8</v>
      </c>
      <c r="D2" s="8">
        <v>1000</v>
      </c>
      <c r="E2" s="7">
        <v>30</v>
      </c>
      <c r="F2" s="4" t="s">
        <v>9</v>
      </c>
      <c r="H2" s="30" t="str">
        <f>PROPER(B2)</f>
        <v>Laptop</v>
      </c>
      <c r="J2" s="30" t="s">
        <v>9</v>
      </c>
    </row>
    <row r="3" spans="1:19">
      <c r="A3" s="9" t="s">
        <v>10</v>
      </c>
      <c r="B3" s="6" t="s">
        <v>11</v>
      </c>
      <c r="C3" s="9" t="s">
        <v>12</v>
      </c>
      <c r="D3" s="8">
        <v>80</v>
      </c>
      <c r="E3" s="9">
        <v>15</v>
      </c>
      <c r="F3" s="4" t="s">
        <v>13</v>
      </c>
      <c r="H3" s="30" t="str">
        <f t="shared" ref="H3:H35" si="0">PROPER(B3)</f>
        <v>Sneakers</v>
      </c>
      <c r="J3" s="30" t="s">
        <v>13</v>
      </c>
    </row>
    <row r="4" spans="1:19">
      <c r="A4" s="7" t="s">
        <v>14</v>
      </c>
      <c r="B4" s="5" t="s">
        <v>15</v>
      </c>
      <c r="C4" s="7" t="s">
        <v>16</v>
      </c>
      <c r="D4" s="8">
        <v>130</v>
      </c>
      <c r="E4" s="7">
        <v>40</v>
      </c>
      <c r="F4" s="4" t="s">
        <v>17</v>
      </c>
      <c r="H4" s="30" t="str">
        <f t="shared" si="0"/>
        <v>Coffee Maker</v>
      </c>
      <c r="J4" s="30" t="s">
        <v>17</v>
      </c>
    </row>
    <row r="5" spans="1:19">
      <c r="A5" s="9" t="s">
        <v>18</v>
      </c>
      <c r="B5" s="6" t="s">
        <v>19</v>
      </c>
      <c r="C5" s="9" t="s">
        <v>20</v>
      </c>
      <c r="D5" s="8">
        <v>900</v>
      </c>
      <c r="E5" s="9">
        <v>25</v>
      </c>
      <c r="F5" s="4" t="s">
        <v>9</v>
      </c>
      <c r="H5" s="30" t="str">
        <f t="shared" si="0"/>
        <v>Smartphone</v>
      </c>
      <c r="J5" s="30" t="s">
        <v>9</v>
      </c>
    </row>
    <row r="6" spans="1:19">
      <c r="A6" s="7" t="s">
        <v>21</v>
      </c>
      <c r="B6" s="5" t="s">
        <v>22</v>
      </c>
      <c r="C6" s="7" t="s">
        <v>23</v>
      </c>
      <c r="D6" s="8">
        <v>70</v>
      </c>
      <c r="E6" s="7">
        <v>20</v>
      </c>
      <c r="F6" s="4" t="s">
        <v>101</v>
      </c>
      <c r="H6" s="30" t="str">
        <f t="shared" si="0"/>
        <v>Backpack</v>
      </c>
      <c r="J6" s="30" t="s">
        <v>101</v>
      </c>
    </row>
    <row r="7" spans="1:19">
      <c r="A7" s="9" t="s">
        <v>24</v>
      </c>
      <c r="B7" s="6" t="s">
        <v>25</v>
      </c>
      <c r="C7" s="9" t="s">
        <v>26</v>
      </c>
      <c r="D7" s="8">
        <v>309</v>
      </c>
      <c r="E7" s="9">
        <v>45</v>
      </c>
      <c r="F7" s="4" t="s">
        <v>27</v>
      </c>
      <c r="H7" s="30" t="str">
        <f t="shared" si="0"/>
        <v>Headphones</v>
      </c>
      <c r="J7" s="30" t="s">
        <v>9</v>
      </c>
      <c r="M7" s="37" t="s">
        <v>164</v>
      </c>
      <c r="N7" s="37"/>
      <c r="O7" s="37"/>
      <c r="P7" s="37"/>
      <c r="Q7" s="37"/>
      <c r="R7" s="37"/>
      <c r="S7" s="37"/>
    </row>
    <row r="8" spans="1:19">
      <c r="A8" s="7" t="s">
        <v>28</v>
      </c>
      <c r="B8" s="5" t="s">
        <v>29</v>
      </c>
      <c r="C8" s="7" t="s">
        <v>30</v>
      </c>
      <c r="D8" s="8">
        <v>30</v>
      </c>
      <c r="E8" s="7">
        <v>5</v>
      </c>
      <c r="F8" s="4" t="s">
        <v>13</v>
      </c>
      <c r="H8" s="30" t="str">
        <f t="shared" si="0"/>
        <v>T-Shirt</v>
      </c>
      <c r="J8" s="30" t="s">
        <v>13</v>
      </c>
      <c r="M8" s="37"/>
      <c r="N8" s="37"/>
      <c r="O8" s="37"/>
      <c r="P8" s="37"/>
      <c r="Q8" s="37"/>
      <c r="R8" s="37"/>
      <c r="S8" s="37"/>
    </row>
    <row r="9" spans="1:19">
      <c r="A9" s="9" t="s">
        <v>31</v>
      </c>
      <c r="B9" s="6" t="s">
        <v>32</v>
      </c>
      <c r="C9" s="9" t="s">
        <v>33</v>
      </c>
      <c r="D9" s="8">
        <v>90</v>
      </c>
      <c r="E9" s="9">
        <v>35</v>
      </c>
      <c r="F9" s="4" t="s">
        <v>17</v>
      </c>
      <c r="H9" s="30" t="str">
        <f t="shared" si="0"/>
        <v>Blender</v>
      </c>
      <c r="J9" s="30" t="s">
        <v>17</v>
      </c>
      <c r="M9" s="37"/>
      <c r="N9" s="37"/>
      <c r="O9" s="37"/>
      <c r="P9" s="37"/>
      <c r="Q9" s="37"/>
      <c r="R9" s="37"/>
      <c r="S9" s="37"/>
    </row>
    <row r="10" spans="1:19">
      <c r="A10" s="7" t="s">
        <v>34</v>
      </c>
      <c r="B10" s="5" t="s">
        <v>35</v>
      </c>
      <c r="C10" s="7" t="s">
        <v>36</v>
      </c>
      <c r="D10" s="8">
        <v>500</v>
      </c>
      <c r="E10" s="7">
        <v>50</v>
      </c>
      <c r="F10" s="4" t="s">
        <v>9</v>
      </c>
      <c r="H10" s="30" t="str">
        <f t="shared" si="0"/>
        <v>Tablet</v>
      </c>
      <c r="J10" s="30" t="s">
        <v>9</v>
      </c>
      <c r="M10" s="37"/>
      <c r="N10" s="37"/>
      <c r="O10" s="37"/>
      <c r="P10" s="37"/>
      <c r="Q10" s="37"/>
      <c r="R10" s="37"/>
      <c r="S10" s="37"/>
    </row>
    <row r="11" spans="1:19">
      <c r="A11" s="9" t="s">
        <v>37</v>
      </c>
      <c r="B11" s="6" t="s">
        <v>38</v>
      </c>
      <c r="C11" s="9" t="s">
        <v>39</v>
      </c>
      <c r="D11" s="8">
        <v>130</v>
      </c>
      <c r="E11" s="9">
        <v>10</v>
      </c>
      <c r="F11" s="4" t="s">
        <v>40</v>
      </c>
      <c r="H11" s="30" t="str">
        <f t="shared" si="0"/>
        <v>Hiking Boots</v>
      </c>
      <c r="J11" s="30" t="s">
        <v>40</v>
      </c>
    </row>
    <row r="12" spans="1:19">
      <c r="A12" s="7" t="s">
        <v>41</v>
      </c>
      <c r="B12" s="5" t="s">
        <v>42</v>
      </c>
      <c r="C12" s="7" t="s">
        <v>43</v>
      </c>
      <c r="D12" s="8">
        <v>950</v>
      </c>
      <c r="E12" s="7">
        <v>25</v>
      </c>
      <c r="F12" s="4" t="s">
        <v>9</v>
      </c>
      <c r="H12" s="30" t="str">
        <f t="shared" si="0"/>
        <v>Laptop</v>
      </c>
      <c r="J12" s="30" t="s">
        <v>9</v>
      </c>
    </row>
    <row r="13" spans="1:19">
      <c r="A13" s="9" t="s">
        <v>44</v>
      </c>
      <c r="B13" s="6" t="s">
        <v>11</v>
      </c>
      <c r="C13" s="9" t="s">
        <v>30</v>
      </c>
      <c r="D13" s="8">
        <v>90</v>
      </c>
      <c r="E13" s="9">
        <v>40</v>
      </c>
      <c r="F13" s="4" t="s">
        <v>101</v>
      </c>
      <c r="H13" s="30" t="str">
        <f t="shared" si="0"/>
        <v>Sneakers</v>
      </c>
      <c r="J13" s="30" t="s">
        <v>101</v>
      </c>
    </row>
    <row r="14" spans="1:19">
      <c r="A14" s="7" t="s">
        <v>45</v>
      </c>
      <c r="B14" s="5" t="s">
        <v>15</v>
      </c>
      <c r="C14" s="7" t="s">
        <v>46</v>
      </c>
      <c r="D14" s="8">
        <v>120</v>
      </c>
      <c r="E14" s="7">
        <v>35</v>
      </c>
      <c r="F14" s="4" t="s">
        <v>101</v>
      </c>
      <c r="H14" s="30" t="str">
        <f t="shared" si="0"/>
        <v>Coffee Maker</v>
      </c>
      <c r="J14" s="30" t="s">
        <v>101</v>
      </c>
    </row>
    <row r="15" spans="1:19">
      <c r="A15" s="9" t="s">
        <v>47</v>
      </c>
      <c r="B15" s="6" t="s">
        <v>48</v>
      </c>
      <c r="C15" s="9" t="s">
        <v>49</v>
      </c>
      <c r="D15" s="8">
        <v>150</v>
      </c>
      <c r="E15" s="9">
        <v>15</v>
      </c>
      <c r="F15" s="4" t="s">
        <v>27</v>
      </c>
      <c r="H15" s="30" t="str">
        <f t="shared" si="0"/>
        <v>Smartwatch</v>
      </c>
      <c r="J15" s="30" t="s">
        <v>9</v>
      </c>
    </row>
    <row r="16" spans="1:19">
      <c r="A16" s="7" t="s">
        <v>50</v>
      </c>
      <c r="B16" s="5" t="s">
        <v>51</v>
      </c>
      <c r="C16" s="7" t="s">
        <v>52</v>
      </c>
      <c r="D16" s="8">
        <v>250</v>
      </c>
      <c r="E16" s="7">
        <v>20</v>
      </c>
      <c r="F16" s="4" t="s">
        <v>27</v>
      </c>
      <c r="H16" s="30" t="str">
        <f t="shared" si="0"/>
        <v>Headphones</v>
      </c>
      <c r="J16" s="30" t="s">
        <v>9</v>
      </c>
    </row>
    <row r="17" spans="1:10">
      <c r="A17" s="9" t="s">
        <v>53</v>
      </c>
      <c r="B17" s="6" t="s">
        <v>54</v>
      </c>
      <c r="C17" s="9" t="s">
        <v>55</v>
      </c>
      <c r="D17" s="8">
        <v>50</v>
      </c>
      <c r="E17" s="9">
        <v>35</v>
      </c>
      <c r="F17" s="4" t="s">
        <v>56</v>
      </c>
      <c r="H17" s="30" t="str">
        <f t="shared" si="0"/>
        <v>Laptop Bag</v>
      </c>
      <c r="J17" s="30" t="s">
        <v>56</v>
      </c>
    </row>
    <row r="18" spans="1:10">
      <c r="A18" s="7" t="s">
        <v>57</v>
      </c>
      <c r="B18" s="5" t="s">
        <v>48</v>
      </c>
      <c r="C18" s="7" t="s">
        <v>58</v>
      </c>
      <c r="D18" s="8">
        <v>160</v>
      </c>
      <c r="E18" s="7">
        <v>15</v>
      </c>
      <c r="F18" s="4" t="s">
        <v>27</v>
      </c>
      <c r="H18" s="30" t="str">
        <f t="shared" si="0"/>
        <v>Smartwatch</v>
      </c>
      <c r="J18" s="30" t="s">
        <v>9</v>
      </c>
    </row>
    <row r="19" spans="1:10">
      <c r="A19" s="9" t="s">
        <v>59</v>
      </c>
      <c r="B19" s="6" t="s">
        <v>7</v>
      </c>
      <c r="C19" s="9" t="s">
        <v>60</v>
      </c>
      <c r="D19" s="8">
        <v>980</v>
      </c>
      <c r="E19" s="9">
        <v>10</v>
      </c>
      <c r="F19" s="4" t="s">
        <v>9</v>
      </c>
      <c r="H19" s="30" t="str">
        <f t="shared" si="0"/>
        <v>Laptop</v>
      </c>
      <c r="J19" s="30" t="s">
        <v>9</v>
      </c>
    </row>
    <row r="20" spans="1:10">
      <c r="A20" s="7" t="s">
        <v>61</v>
      </c>
      <c r="B20" s="5" t="s">
        <v>62</v>
      </c>
      <c r="C20" s="7" t="s">
        <v>63</v>
      </c>
      <c r="D20" s="8">
        <v>150</v>
      </c>
      <c r="E20" s="7">
        <v>15</v>
      </c>
      <c r="F20" s="4" t="s">
        <v>13</v>
      </c>
      <c r="H20" s="30" t="str">
        <f t="shared" si="0"/>
        <v>Sunglasses</v>
      </c>
      <c r="J20" s="30" t="s">
        <v>13</v>
      </c>
    </row>
    <row r="21" spans="1:10">
      <c r="A21" s="9" t="s">
        <v>64</v>
      </c>
      <c r="B21" s="6" t="s">
        <v>65</v>
      </c>
      <c r="C21" s="9" t="s">
        <v>66</v>
      </c>
      <c r="D21" s="8">
        <v>309</v>
      </c>
      <c r="E21" s="9">
        <v>10</v>
      </c>
      <c r="F21" s="4" t="s">
        <v>40</v>
      </c>
      <c r="H21" s="30" t="str">
        <f t="shared" si="0"/>
        <v>Camping Tent</v>
      </c>
      <c r="J21" s="30" t="s">
        <v>40</v>
      </c>
    </row>
    <row r="22" spans="1:10">
      <c r="A22" s="7" t="s">
        <v>67</v>
      </c>
      <c r="B22" s="5" t="s">
        <v>68</v>
      </c>
      <c r="C22" s="7" t="s">
        <v>69</v>
      </c>
      <c r="D22" s="8">
        <v>700</v>
      </c>
      <c r="E22" s="7">
        <v>50</v>
      </c>
      <c r="F22" s="4" t="s">
        <v>9</v>
      </c>
      <c r="H22" s="30" t="str">
        <f t="shared" si="0"/>
        <v>Camera</v>
      </c>
      <c r="J22" s="30" t="s">
        <v>9</v>
      </c>
    </row>
    <row r="23" spans="1:10">
      <c r="A23" s="9" t="s">
        <v>70</v>
      </c>
      <c r="B23" s="6" t="s">
        <v>71</v>
      </c>
      <c r="C23" s="9" t="s">
        <v>72</v>
      </c>
      <c r="D23" s="8">
        <v>80</v>
      </c>
      <c r="E23" s="9">
        <v>20</v>
      </c>
      <c r="F23" s="4" t="s">
        <v>17</v>
      </c>
      <c r="H23" s="30" t="str">
        <f t="shared" si="0"/>
        <v>Microwave</v>
      </c>
      <c r="J23" s="30" t="s">
        <v>17</v>
      </c>
    </row>
    <row r="24" spans="1:10">
      <c r="A24" s="7" t="s">
        <v>73</v>
      </c>
      <c r="B24" s="5" t="s">
        <v>74</v>
      </c>
      <c r="C24" s="7" t="s">
        <v>75</v>
      </c>
      <c r="D24" s="8">
        <v>150</v>
      </c>
      <c r="E24" s="7">
        <v>30</v>
      </c>
      <c r="F24" s="4" t="s">
        <v>101</v>
      </c>
      <c r="H24" s="30" t="str">
        <f t="shared" si="0"/>
        <v>Fitness Tracker</v>
      </c>
      <c r="J24" s="30" t="s">
        <v>101</v>
      </c>
    </row>
    <row r="25" spans="1:10">
      <c r="A25" s="9" t="s">
        <v>53</v>
      </c>
      <c r="B25" s="6" t="s">
        <v>54</v>
      </c>
      <c r="C25" s="9" t="s">
        <v>55</v>
      </c>
      <c r="D25" s="8">
        <v>50</v>
      </c>
      <c r="E25" s="9">
        <v>35</v>
      </c>
      <c r="F25" s="4" t="s">
        <v>56</v>
      </c>
      <c r="H25" s="30" t="str">
        <f t="shared" si="0"/>
        <v>Laptop Bag</v>
      </c>
      <c r="J25" s="30" t="s">
        <v>56</v>
      </c>
    </row>
    <row r="26" spans="1:10">
      <c r="A26" s="7" t="s">
        <v>76</v>
      </c>
      <c r="B26" s="5" t="s">
        <v>77</v>
      </c>
      <c r="C26" s="7" t="s">
        <v>78</v>
      </c>
      <c r="D26" s="8">
        <v>800</v>
      </c>
      <c r="E26" s="7">
        <v>45</v>
      </c>
      <c r="F26" s="4" t="s">
        <v>9</v>
      </c>
      <c r="H26" s="30" t="str">
        <f t="shared" si="0"/>
        <v>Smartphone</v>
      </c>
      <c r="J26" s="30" t="s">
        <v>9</v>
      </c>
    </row>
    <row r="27" spans="1:10">
      <c r="A27" s="9" t="s">
        <v>79</v>
      </c>
      <c r="B27" s="6" t="s">
        <v>62</v>
      </c>
      <c r="C27" s="9" t="s">
        <v>80</v>
      </c>
      <c r="D27" s="8">
        <v>309</v>
      </c>
      <c r="E27" s="9">
        <v>25</v>
      </c>
      <c r="F27" s="4" t="s">
        <v>13</v>
      </c>
      <c r="H27" s="30" t="str">
        <f t="shared" si="0"/>
        <v>Sunglasses</v>
      </c>
      <c r="J27" s="30" t="s">
        <v>13</v>
      </c>
    </row>
    <row r="28" spans="1:10">
      <c r="A28" s="7" t="s">
        <v>81</v>
      </c>
      <c r="B28" s="5" t="s">
        <v>32</v>
      </c>
      <c r="C28" s="7" t="s">
        <v>82</v>
      </c>
      <c r="D28" s="8">
        <v>400</v>
      </c>
      <c r="E28" s="7">
        <v>40</v>
      </c>
      <c r="F28" s="4" t="s">
        <v>17</v>
      </c>
      <c r="H28" s="30" t="str">
        <f t="shared" si="0"/>
        <v>Blender</v>
      </c>
      <c r="J28" s="30" t="s">
        <v>17</v>
      </c>
    </row>
    <row r="29" spans="1:10">
      <c r="A29" s="9" t="s">
        <v>50</v>
      </c>
      <c r="B29" s="6" t="s">
        <v>51</v>
      </c>
      <c r="C29" s="9" t="s">
        <v>52</v>
      </c>
      <c r="D29" s="8">
        <v>250</v>
      </c>
      <c r="E29" s="9">
        <v>20</v>
      </c>
      <c r="F29" s="4" t="s">
        <v>27</v>
      </c>
      <c r="H29" s="30" t="str">
        <f t="shared" si="0"/>
        <v>Headphones</v>
      </c>
      <c r="J29" s="30" t="s">
        <v>9</v>
      </c>
    </row>
    <row r="30" spans="1:10">
      <c r="A30" s="7" t="s">
        <v>83</v>
      </c>
      <c r="B30" s="5" t="s">
        <v>84</v>
      </c>
      <c r="C30" s="7" t="s">
        <v>85</v>
      </c>
      <c r="D30" s="8">
        <v>60</v>
      </c>
      <c r="E30" s="7">
        <v>30</v>
      </c>
      <c r="F30" s="4" t="s">
        <v>13</v>
      </c>
      <c r="H30" s="30" t="str">
        <f t="shared" si="0"/>
        <v>Dress</v>
      </c>
      <c r="J30" s="30" t="s">
        <v>13</v>
      </c>
    </row>
    <row r="31" spans="1:10">
      <c r="A31" s="9" t="s">
        <v>86</v>
      </c>
      <c r="B31" s="6" t="s">
        <v>87</v>
      </c>
      <c r="C31" s="9" t="s">
        <v>88</v>
      </c>
      <c r="D31" s="8">
        <v>40</v>
      </c>
      <c r="E31" s="9">
        <v>10</v>
      </c>
      <c r="F31" s="4" t="s">
        <v>17</v>
      </c>
      <c r="H31" s="30" t="str">
        <f t="shared" si="0"/>
        <v>Toaster</v>
      </c>
      <c r="J31" s="30" t="s">
        <v>17</v>
      </c>
    </row>
    <row r="32" spans="1:10">
      <c r="A32" s="7" t="s">
        <v>89</v>
      </c>
      <c r="B32" s="5" t="s">
        <v>74</v>
      </c>
      <c r="C32" s="7" t="s">
        <v>90</v>
      </c>
      <c r="D32" s="8">
        <v>130</v>
      </c>
      <c r="E32" s="7">
        <v>5</v>
      </c>
      <c r="F32" s="4" t="s">
        <v>9</v>
      </c>
      <c r="H32" s="30" t="str">
        <f t="shared" si="0"/>
        <v>Fitness Tracker</v>
      </c>
      <c r="J32" s="30" t="s">
        <v>9</v>
      </c>
    </row>
    <row r="33" spans="1:10">
      <c r="A33" s="9" t="s">
        <v>91</v>
      </c>
      <c r="B33" s="6" t="s">
        <v>92</v>
      </c>
      <c r="C33" s="9" t="s">
        <v>93</v>
      </c>
      <c r="D33" s="8">
        <v>50</v>
      </c>
      <c r="E33" s="9">
        <v>50</v>
      </c>
      <c r="F33" s="4" t="s">
        <v>13</v>
      </c>
      <c r="H33" s="30" t="str">
        <f t="shared" si="0"/>
        <v>Jeans</v>
      </c>
      <c r="J33" s="30" t="s">
        <v>13</v>
      </c>
    </row>
    <row r="34" spans="1:10">
      <c r="A34" s="7" t="s">
        <v>41</v>
      </c>
      <c r="B34" s="5" t="s">
        <v>42</v>
      </c>
      <c r="C34" s="7" t="s">
        <v>43</v>
      </c>
      <c r="D34" s="8">
        <v>950</v>
      </c>
      <c r="E34" s="7">
        <v>25</v>
      </c>
      <c r="F34" s="4" t="s">
        <v>9</v>
      </c>
      <c r="H34" s="30" t="str">
        <f t="shared" si="0"/>
        <v>Laptop</v>
      </c>
      <c r="J34" s="30" t="s">
        <v>9</v>
      </c>
    </row>
    <row r="35" spans="1:10">
      <c r="A35" s="9" t="s">
        <v>94</v>
      </c>
      <c r="B35" s="6" t="s">
        <v>95</v>
      </c>
      <c r="C35" s="9" t="s">
        <v>96</v>
      </c>
      <c r="D35" s="8">
        <v>100</v>
      </c>
      <c r="E35" s="9">
        <v>20</v>
      </c>
      <c r="F35" s="4" t="s">
        <v>56</v>
      </c>
      <c r="H35" s="30" t="str">
        <f t="shared" si="0"/>
        <v>Watch</v>
      </c>
      <c r="J35" s="30" t="s">
        <v>56</v>
      </c>
    </row>
  </sheetData>
  <mergeCells count="1">
    <mergeCell ref="M7:S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EC0D2-9C2B-45CC-ABBF-42E0E2D4F0C6}">
  <dimension ref="A1:N32"/>
  <sheetViews>
    <sheetView workbookViewId="0">
      <selection activeCell="H14" sqref="H14"/>
    </sheetView>
  </sheetViews>
  <sheetFormatPr defaultRowHeight="13.2"/>
  <cols>
    <col min="1" max="1" width="10.77734375" bestFit="1" customWidth="1"/>
    <col min="2" max="2" width="13.6640625" bestFit="1" customWidth="1"/>
    <col min="3" max="3" width="11.77734375" bestFit="1" customWidth="1"/>
    <col min="6" max="6" width="11" bestFit="1" customWidth="1"/>
  </cols>
  <sheetData>
    <row r="1" spans="1:1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14">
      <c r="A2" s="7" t="s">
        <v>6</v>
      </c>
      <c r="B2" s="7" t="s">
        <v>42</v>
      </c>
      <c r="C2" s="7" t="s">
        <v>8</v>
      </c>
      <c r="D2" s="8">
        <v>1000</v>
      </c>
      <c r="E2" s="7">
        <v>30</v>
      </c>
      <c r="F2" s="8" t="s">
        <v>9</v>
      </c>
    </row>
    <row r="3" spans="1:14">
      <c r="A3" s="9" t="s">
        <v>10</v>
      </c>
      <c r="B3" s="9" t="s">
        <v>11</v>
      </c>
      <c r="C3" s="9" t="s">
        <v>12</v>
      </c>
      <c r="D3" s="8">
        <v>80</v>
      </c>
      <c r="E3" s="9">
        <v>15</v>
      </c>
      <c r="F3" s="8" t="s">
        <v>13</v>
      </c>
    </row>
    <row r="4" spans="1:14">
      <c r="A4" s="7" t="s">
        <v>14</v>
      </c>
      <c r="B4" s="7" t="s">
        <v>15</v>
      </c>
      <c r="C4" s="7" t="s">
        <v>16</v>
      </c>
      <c r="D4" s="8">
        <v>130</v>
      </c>
      <c r="E4" s="7">
        <v>40</v>
      </c>
      <c r="F4" s="8" t="s">
        <v>17</v>
      </c>
    </row>
    <row r="5" spans="1:14">
      <c r="A5" s="9" t="s">
        <v>18</v>
      </c>
      <c r="B5" s="9" t="s">
        <v>77</v>
      </c>
      <c r="C5" s="9" t="s">
        <v>20</v>
      </c>
      <c r="D5" s="8">
        <v>900</v>
      </c>
      <c r="E5" s="9">
        <v>25</v>
      </c>
      <c r="F5" s="8" t="s">
        <v>9</v>
      </c>
    </row>
    <row r="6" spans="1:14">
      <c r="A6" s="7" t="s">
        <v>21</v>
      </c>
      <c r="B6" s="7" t="s">
        <v>22</v>
      </c>
      <c r="C6" s="7" t="s">
        <v>23</v>
      </c>
      <c r="D6" s="8">
        <v>70</v>
      </c>
      <c r="E6" s="7">
        <v>20</v>
      </c>
      <c r="F6" s="8" t="s">
        <v>101</v>
      </c>
    </row>
    <row r="7" spans="1:14">
      <c r="A7" s="9" t="s">
        <v>24</v>
      </c>
      <c r="B7" s="9" t="s">
        <v>25</v>
      </c>
      <c r="C7" s="9" t="s">
        <v>26</v>
      </c>
      <c r="D7" s="8">
        <v>309</v>
      </c>
      <c r="E7" s="9">
        <v>45</v>
      </c>
      <c r="F7" s="8" t="s">
        <v>9</v>
      </c>
    </row>
    <row r="8" spans="1:14">
      <c r="A8" s="7" t="s">
        <v>28</v>
      </c>
      <c r="B8" s="7" t="s">
        <v>106</v>
      </c>
      <c r="C8" s="7" t="s">
        <v>30</v>
      </c>
      <c r="D8" s="8">
        <v>30</v>
      </c>
      <c r="E8" s="7">
        <v>5</v>
      </c>
      <c r="F8" s="8" t="s">
        <v>13</v>
      </c>
      <c r="I8" s="37" t="s">
        <v>165</v>
      </c>
      <c r="J8" s="37"/>
      <c r="K8" s="37"/>
      <c r="L8" s="37"/>
      <c r="M8" s="37"/>
      <c r="N8" s="37"/>
    </row>
    <row r="9" spans="1:14">
      <c r="A9" s="9" t="s">
        <v>31</v>
      </c>
      <c r="B9" s="9" t="s">
        <v>32</v>
      </c>
      <c r="C9" s="9" t="s">
        <v>33</v>
      </c>
      <c r="D9" s="8">
        <v>90</v>
      </c>
      <c r="E9" s="9">
        <v>35</v>
      </c>
      <c r="F9" s="8" t="s">
        <v>17</v>
      </c>
      <c r="I9" s="37"/>
      <c r="J9" s="37"/>
      <c r="K9" s="37"/>
      <c r="L9" s="37"/>
      <c r="M9" s="37"/>
      <c r="N9" s="37"/>
    </row>
    <row r="10" spans="1:14">
      <c r="A10" s="7" t="s">
        <v>34</v>
      </c>
      <c r="B10" s="7" t="s">
        <v>35</v>
      </c>
      <c r="C10" s="7" t="s">
        <v>36</v>
      </c>
      <c r="D10" s="8">
        <v>500</v>
      </c>
      <c r="E10" s="7">
        <v>50</v>
      </c>
      <c r="F10" s="8" t="s">
        <v>9</v>
      </c>
      <c r="I10" s="37"/>
      <c r="J10" s="37"/>
      <c r="K10" s="37"/>
      <c r="L10" s="37"/>
      <c r="M10" s="37"/>
      <c r="N10" s="37"/>
    </row>
    <row r="11" spans="1:14">
      <c r="A11" s="9" t="s">
        <v>37</v>
      </c>
      <c r="B11" s="9" t="s">
        <v>38</v>
      </c>
      <c r="C11" s="9" t="s">
        <v>39</v>
      </c>
      <c r="D11" s="8">
        <v>130</v>
      </c>
      <c r="E11" s="9">
        <v>10</v>
      </c>
      <c r="F11" s="8" t="s">
        <v>40</v>
      </c>
    </row>
    <row r="12" spans="1:14">
      <c r="A12" s="7" t="s">
        <v>41</v>
      </c>
      <c r="B12" s="7" t="s">
        <v>42</v>
      </c>
      <c r="C12" s="7" t="s">
        <v>43</v>
      </c>
      <c r="D12" s="8">
        <v>950</v>
      </c>
      <c r="E12" s="7">
        <v>25</v>
      </c>
      <c r="F12" s="8" t="s">
        <v>9</v>
      </c>
    </row>
    <row r="13" spans="1:14">
      <c r="A13" s="9" t="s">
        <v>44</v>
      </c>
      <c r="B13" s="9" t="s">
        <v>11</v>
      </c>
      <c r="C13" s="9" t="s">
        <v>30</v>
      </c>
      <c r="D13" s="8">
        <v>90</v>
      </c>
      <c r="E13" s="9">
        <v>40</v>
      </c>
      <c r="F13" s="8" t="s">
        <v>101</v>
      </c>
    </row>
    <row r="14" spans="1:14">
      <c r="A14" s="7" t="s">
        <v>45</v>
      </c>
      <c r="B14" s="7" t="s">
        <v>15</v>
      </c>
      <c r="C14" s="7" t="s">
        <v>46</v>
      </c>
      <c r="D14" s="8">
        <v>120</v>
      </c>
      <c r="E14" s="7">
        <v>35</v>
      </c>
      <c r="F14" s="8" t="s">
        <v>101</v>
      </c>
    </row>
    <row r="15" spans="1:14">
      <c r="A15" s="9" t="s">
        <v>47</v>
      </c>
      <c r="B15" s="9" t="s">
        <v>48</v>
      </c>
      <c r="C15" s="9" t="s">
        <v>49</v>
      </c>
      <c r="D15" s="8">
        <v>150</v>
      </c>
      <c r="E15" s="9">
        <v>15</v>
      </c>
      <c r="F15" s="8" t="s">
        <v>9</v>
      </c>
    </row>
    <row r="16" spans="1:14">
      <c r="A16" s="7" t="s">
        <v>50</v>
      </c>
      <c r="B16" s="7" t="s">
        <v>25</v>
      </c>
      <c r="C16" s="7" t="s">
        <v>52</v>
      </c>
      <c r="D16" s="8">
        <v>250</v>
      </c>
      <c r="E16" s="7">
        <v>20</v>
      </c>
      <c r="F16" s="8" t="s">
        <v>9</v>
      </c>
    </row>
    <row r="17" spans="1:6">
      <c r="A17" s="9" t="s">
        <v>53</v>
      </c>
      <c r="B17" s="9" t="s">
        <v>54</v>
      </c>
      <c r="C17" s="9" t="s">
        <v>55</v>
      </c>
      <c r="D17" s="8">
        <v>50</v>
      </c>
      <c r="E17" s="9">
        <v>35</v>
      </c>
      <c r="F17" s="8" t="s">
        <v>56</v>
      </c>
    </row>
    <row r="18" spans="1:6">
      <c r="A18" s="7" t="s">
        <v>57</v>
      </c>
      <c r="B18" s="7" t="s">
        <v>48</v>
      </c>
      <c r="C18" s="7" t="s">
        <v>58</v>
      </c>
      <c r="D18" s="8">
        <v>160</v>
      </c>
      <c r="E18" s="7">
        <v>15</v>
      </c>
      <c r="F18" s="8" t="s">
        <v>9</v>
      </c>
    </row>
    <row r="19" spans="1:6">
      <c r="A19" s="9" t="s">
        <v>59</v>
      </c>
      <c r="B19" s="9" t="s">
        <v>42</v>
      </c>
      <c r="C19" s="9" t="s">
        <v>60</v>
      </c>
      <c r="D19" s="8">
        <v>980</v>
      </c>
      <c r="E19" s="9">
        <v>10</v>
      </c>
      <c r="F19" s="8" t="s">
        <v>9</v>
      </c>
    </row>
    <row r="20" spans="1:6">
      <c r="A20" s="7" t="s">
        <v>61</v>
      </c>
      <c r="B20" s="7" t="s">
        <v>62</v>
      </c>
      <c r="C20" s="7" t="s">
        <v>63</v>
      </c>
      <c r="D20" s="8">
        <v>150</v>
      </c>
      <c r="E20" s="7">
        <v>15</v>
      </c>
      <c r="F20" s="8" t="s">
        <v>13</v>
      </c>
    </row>
    <row r="21" spans="1:6">
      <c r="A21" s="9" t="s">
        <v>64</v>
      </c>
      <c r="B21" s="9" t="s">
        <v>65</v>
      </c>
      <c r="C21" s="9" t="s">
        <v>66</v>
      </c>
      <c r="D21" s="8">
        <v>309</v>
      </c>
      <c r="E21" s="9">
        <v>10</v>
      </c>
      <c r="F21" s="8" t="s">
        <v>40</v>
      </c>
    </row>
    <row r="22" spans="1:6">
      <c r="A22" s="7" t="s">
        <v>67</v>
      </c>
      <c r="B22" s="7" t="s">
        <v>68</v>
      </c>
      <c r="C22" s="7" t="s">
        <v>69</v>
      </c>
      <c r="D22" s="8">
        <v>700</v>
      </c>
      <c r="E22" s="7">
        <v>50</v>
      </c>
      <c r="F22" s="8" t="s">
        <v>9</v>
      </c>
    </row>
    <row r="23" spans="1:6">
      <c r="A23" s="9" t="s">
        <v>70</v>
      </c>
      <c r="B23" s="9" t="s">
        <v>71</v>
      </c>
      <c r="C23" s="9" t="s">
        <v>72</v>
      </c>
      <c r="D23" s="8">
        <v>80</v>
      </c>
      <c r="E23" s="9">
        <v>20</v>
      </c>
      <c r="F23" s="8" t="s">
        <v>17</v>
      </c>
    </row>
    <row r="24" spans="1:6">
      <c r="A24" s="7" t="s">
        <v>73</v>
      </c>
      <c r="B24" s="7" t="s">
        <v>74</v>
      </c>
      <c r="C24" s="7" t="s">
        <v>75</v>
      </c>
      <c r="D24" s="8">
        <v>150</v>
      </c>
      <c r="E24" s="7">
        <v>30</v>
      </c>
      <c r="F24" s="8" t="s">
        <v>101</v>
      </c>
    </row>
    <row r="25" spans="1:6">
      <c r="A25" s="7" t="s">
        <v>76</v>
      </c>
      <c r="B25" s="7" t="s">
        <v>77</v>
      </c>
      <c r="C25" s="7" t="s">
        <v>78</v>
      </c>
      <c r="D25" s="8">
        <v>800</v>
      </c>
      <c r="E25" s="7">
        <v>45</v>
      </c>
      <c r="F25" s="8" t="s">
        <v>9</v>
      </c>
    </row>
    <row r="26" spans="1:6">
      <c r="A26" s="9" t="s">
        <v>79</v>
      </c>
      <c r="B26" s="9" t="s">
        <v>62</v>
      </c>
      <c r="C26" s="9" t="s">
        <v>80</v>
      </c>
      <c r="D26" s="8">
        <v>309</v>
      </c>
      <c r="E26" s="9">
        <v>25</v>
      </c>
      <c r="F26" s="8" t="s">
        <v>13</v>
      </c>
    </row>
    <row r="27" spans="1:6">
      <c r="A27" s="7" t="s">
        <v>81</v>
      </c>
      <c r="B27" s="7" t="s">
        <v>32</v>
      </c>
      <c r="C27" s="7" t="s">
        <v>82</v>
      </c>
      <c r="D27" s="8">
        <v>400</v>
      </c>
      <c r="E27" s="7">
        <v>40</v>
      </c>
      <c r="F27" s="8" t="s">
        <v>17</v>
      </c>
    </row>
    <row r="28" spans="1:6">
      <c r="A28" s="7" t="s">
        <v>83</v>
      </c>
      <c r="B28" s="7" t="s">
        <v>84</v>
      </c>
      <c r="C28" s="7" t="s">
        <v>85</v>
      </c>
      <c r="D28" s="8">
        <v>60</v>
      </c>
      <c r="E28" s="7">
        <v>30</v>
      </c>
      <c r="F28" s="8" t="s">
        <v>13</v>
      </c>
    </row>
    <row r="29" spans="1:6">
      <c r="A29" s="9" t="s">
        <v>86</v>
      </c>
      <c r="B29" s="9" t="s">
        <v>87</v>
      </c>
      <c r="C29" s="9" t="s">
        <v>88</v>
      </c>
      <c r="D29" s="8">
        <v>40</v>
      </c>
      <c r="E29" s="9">
        <v>10</v>
      </c>
      <c r="F29" s="8" t="s">
        <v>17</v>
      </c>
    </row>
    <row r="30" spans="1:6">
      <c r="A30" s="7" t="s">
        <v>89</v>
      </c>
      <c r="B30" s="7" t="s">
        <v>74</v>
      </c>
      <c r="C30" s="7" t="s">
        <v>90</v>
      </c>
      <c r="D30" s="8">
        <v>130</v>
      </c>
      <c r="E30" s="7">
        <v>5</v>
      </c>
      <c r="F30" s="8" t="s">
        <v>9</v>
      </c>
    </row>
    <row r="31" spans="1:6">
      <c r="A31" s="9" t="s">
        <v>91</v>
      </c>
      <c r="B31" s="9" t="s">
        <v>92</v>
      </c>
      <c r="C31" s="9" t="s">
        <v>93</v>
      </c>
      <c r="D31" s="8">
        <v>50</v>
      </c>
      <c r="E31" s="9">
        <v>50</v>
      </c>
      <c r="F31" s="8" t="s">
        <v>13</v>
      </c>
    </row>
    <row r="32" spans="1:6">
      <c r="A32" s="9" t="s">
        <v>94</v>
      </c>
      <c r="B32" s="9" t="s">
        <v>95</v>
      </c>
      <c r="C32" s="9" t="s">
        <v>96</v>
      </c>
      <c r="D32" s="8">
        <v>100</v>
      </c>
      <c r="E32" s="9">
        <v>20</v>
      </c>
      <c r="F32" s="8" t="s">
        <v>56</v>
      </c>
    </row>
  </sheetData>
  <mergeCells count="1">
    <mergeCell ref="I8:N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EABF5-1EC6-4FC9-B9E5-F12AFA14546A}">
  <dimension ref="A1:T45"/>
  <sheetViews>
    <sheetView workbookViewId="0">
      <selection activeCell="R3" sqref="R3"/>
    </sheetView>
  </sheetViews>
  <sheetFormatPr defaultRowHeight="13.2"/>
  <cols>
    <col min="1" max="1" width="10.77734375" bestFit="1" customWidth="1"/>
    <col min="2" max="2" width="13.6640625" bestFit="1" customWidth="1"/>
    <col min="3" max="3" width="11.77734375" bestFit="1" customWidth="1"/>
    <col min="6" max="6" width="11" bestFit="1" customWidth="1"/>
    <col min="14" max="14" width="21.44140625" bestFit="1" customWidth="1"/>
  </cols>
  <sheetData>
    <row r="1" spans="1:20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J1" s="15" t="s">
        <v>123</v>
      </c>
      <c r="N1" s="16"/>
    </row>
    <row r="2" spans="1:20">
      <c r="A2" s="7" t="s">
        <v>6</v>
      </c>
      <c r="B2" s="7" t="s">
        <v>42</v>
      </c>
      <c r="C2" s="7" t="s">
        <v>8</v>
      </c>
      <c r="D2" s="8">
        <v>1000</v>
      </c>
      <c r="E2" s="7">
        <v>30</v>
      </c>
      <c r="F2" s="8" t="s">
        <v>9</v>
      </c>
      <c r="I2" t="s">
        <v>107</v>
      </c>
      <c r="J2" t="s">
        <v>108</v>
      </c>
      <c r="K2" t="s">
        <v>109</v>
      </c>
      <c r="N2" s="18" t="s">
        <v>129</v>
      </c>
    </row>
    <row r="3" spans="1:20">
      <c r="A3" s="9" t="s">
        <v>10</v>
      </c>
      <c r="B3" s="9" t="s">
        <v>11</v>
      </c>
      <c r="C3" s="9" t="s">
        <v>12</v>
      </c>
      <c r="D3" s="8">
        <v>80</v>
      </c>
      <c r="E3" s="9">
        <v>15</v>
      </c>
      <c r="F3" s="8" t="s">
        <v>13</v>
      </c>
      <c r="H3">
        <f>LEN(I3)</f>
        <v>5</v>
      </c>
      <c r="I3" s="13">
        <v>46050</v>
      </c>
      <c r="J3" s="14" t="s">
        <v>110</v>
      </c>
      <c r="K3" s="14" t="s">
        <v>111</v>
      </c>
      <c r="L3">
        <f>LEN(K3)</f>
        <v>2</v>
      </c>
      <c r="N3" s="17" t="str">
        <f>CONCATENATE(B2," ",C2)</f>
        <v>Laptop Dell</v>
      </c>
    </row>
    <row r="4" spans="1:20">
      <c r="A4" s="7" t="s">
        <v>14</v>
      </c>
      <c r="B4" s="7" t="s">
        <v>15</v>
      </c>
      <c r="C4" s="7" t="s">
        <v>16</v>
      </c>
      <c r="D4" s="8">
        <v>130</v>
      </c>
      <c r="E4" s="7">
        <v>40</v>
      </c>
      <c r="F4" s="8" t="s">
        <v>17</v>
      </c>
      <c r="H4">
        <f t="shared" ref="H4:H33" si="0">LEN(I4)</f>
        <v>5</v>
      </c>
      <c r="I4" s="13">
        <v>46068</v>
      </c>
      <c r="J4" s="14" t="s">
        <v>110</v>
      </c>
      <c r="K4" s="14" t="s">
        <v>111</v>
      </c>
      <c r="L4">
        <f t="shared" ref="L4:L33" si="1">LEN(K4)</f>
        <v>2</v>
      </c>
      <c r="N4" s="17" t="str">
        <f t="shared" ref="N4:N33" si="2">CONCATENATE(B3," ",C3)</f>
        <v>Sneakers Nike</v>
      </c>
    </row>
    <row r="5" spans="1:20">
      <c r="A5" s="9" t="s">
        <v>18</v>
      </c>
      <c r="B5" s="9" t="s">
        <v>77</v>
      </c>
      <c r="C5" s="9" t="s">
        <v>20</v>
      </c>
      <c r="D5" s="8">
        <v>900</v>
      </c>
      <c r="E5" s="9">
        <v>25</v>
      </c>
      <c r="F5" s="8" t="s">
        <v>9</v>
      </c>
      <c r="H5">
        <f t="shared" si="0"/>
        <v>5</v>
      </c>
      <c r="I5" s="13">
        <v>46084</v>
      </c>
      <c r="J5" s="14" t="s">
        <v>110</v>
      </c>
      <c r="K5" s="14" t="s">
        <v>111</v>
      </c>
      <c r="L5">
        <f t="shared" si="1"/>
        <v>2</v>
      </c>
      <c r="N5" s="17" t="str">
        <f t="shared" si="2"/>
        <v>Coffee Maker Keurig</v>
      </c>
    </row>
    <row r="6" spans="1:20">
      <c r="A6" s="7" t="s">
        <v>21</v>
      </c>
      <c r="B6" s="7" t="s">
        <v>22</v>
      </c>
      <c r="C6" s="7" t="s">
        <v>23</v>
      </c>
      <c r="D6" s="8">
        <v>70</v>
      </c>
      <c r="E6" s="7">
        <v>20</v>
      </c>
      <c r="F6" s="8" t="s">
        <v>101</v>
      </c>
      <c r="H6">
        <f t="shared" si="0"/>
        <v>5</v>
      </c>
      <c r="I6" s="13">
        <v>46123</v>
      </c>
      <c r="J6" s="14" t="s">
        <v>110</v>
      </c>
      <c r="K6" s="14" t="s">
        <v>111</v>
      </c>
      <c r="L6">
        <f t="shared" si="1"/>
        <v>2</v>
      </c>
      <c r="N6" s="17" t="str">
        <f t="shared" si="2"/>
        <v>Smartphone Samsung</v>
      </c>
    </row>
    <row r="7" spans="1:20">
      <c r="A7" s="9" t="s">
        <v>24</v>
      </c>
      <c r="B7" s="9" t="s">
        <v>25</v>
      </c>
      <c r="C7" s="9" t="s">
        <v>26</v>
      </c>
      <c r="D7" s="8">
        <v>309</v>
      </c>
      <c r="E7" s="9">
        <v>45</v>
      </c>
      <c r="F7" s="8" t="s">
        <v>9</v>
      </c>
      <c r="H7">
        <f t="shared" si="0"/>
        <v>5</v>
      </c>
      <c r="I7" s="13">
        <v>46164</v>
      </c>
      <c r="J7" s="14" t="s">
        <v>110</v>
      </c>
      <c r="K7" s="14" t="s">
        <v>111</v>
      </c>
      <c r="L7">
        <f t="shared" si="1"/>
        <v>2</v>
      </c>
      <c r="N7" s="17" t="str">
        <f t="shared" si="2"/>
        <v>Backpack North Face</v>
      </c>
    </row>
    <row r="8" spans="1:20" ht="13.2" customHeight="1">
      <c r="A8" s="7" t="s">
        <v>28</v>
      </c>
      <c r="B8" s="7" t="s">
        <v>106</v>
      </c>
      <c r="C8" s="7" t="s">
        <v>30</v>
      </c>
      <c r="D8" s="8">
        <v>30</v>
      </c>
      <c r="E8" s="7">
        <v>5</v>
      </c>
      <c r="F8" s="8" t="s">
        <v>13</v>
      </c>
      <c r="H8">
        <f t="shared" si="0"/>
        <v>5</v>
      </c>
      <c r="I8" s="13">
        <v>46180</v>
      </c>
      <c r="J8" s="14" t="s">
        <v>110</v>
      </c>
      <c r="K8" s="14" t="s">
        <v>112</v>
      </c>
      <c r="L8">
        <f t="shared" si="1"/>
        <v>2</v>
      </c>
      <c r="N8" s="17" t="str">
        <f t="shared" si="2"/>
        <v>Headphones Sony</v>
      </c>
      <c r="P8" s="38" t="s">
        <v>166</v>
      </c>
      <c r="Q8" s="38"/>
      <c r="R8" s="38"/>
      <c r="S8" s="38"/>
      <c r="T8" s="38"/>
    </row>
    <row r="9" spans="1:20" ht="13.2" customHeight="1">
      <c r="A9" s="9" t="s">
        <v>31</v>
      </c>
      <c r="B9" s="9" t="s">
        <v>32</v>
      </c>
      <c r="C9" s="9" t="s">
        <v>33</v>
      </c>
      <c r="D9" s="8">
        <v>90</v>
      </c>
      <c r="E9" s="9">
        <v>35</v>
      </c>
      <c r="F9" s="8" t="s">
        <v>17</v>
      </c>
      <c r="H9">
        <f t="shared" si="0"/>
        <v>5</v>
      </c>
      <c r="I9" s="13">
        <v>46222</v>
      </c>
      <c r="J9" s="14" t="s">
        <v>110</v>
      </c>
      <c r="K9" s="14" t="s">
        <v>112</v>
      </c>
      <c r="L9">
        <f t="shared" si="1"/>
        <v>2</v>
      </c>
      <c r="N9" s="17" t="str">
        <f t="shared" si="2"/>
        <v>T-Shirt Adidas</v>
      </c>
      <c r="P9" s="38"/>
      <c r="Q9" s="38"/>
      <c r="R9" s="38"/>
      <c r="S9" s="38"/>
      <c r="T9" s="38"/>
    </row>
    <row r="10" spans="1:20" ht="13.2" customHeight="1">
      <c r="A10" s="7" t="s">
        <v>34</v>
      </c>
      <c r="B10" s="7" t="s">
        <v>35</v>
      </c>
      <c r="C10" s="7" t="s">
        <v>36</v>
      </c>
      <c r="D10" s="8">
        <v>500</v>
      </c>
      <c r="E10" s="7">
        <v>50</v>
      </c>
      <c r="F10" s="8" t="s">
        <v>9</v>
      </c>
      <c r="H10">
        <f t="shared" si="0"/>
        <v>5</v>
      </c>
      <c r="I10" s="13">
        <v>46257</v>
      </c>
      <c r="J10" s="14" t="s">
        <v>110</v>
      </c>
      <c r="K10" s="14" t="s">
        <v>112</v>
      </c>
      <c r="L10">
        <f t="shared" si="1"/>
        <v>2</v>
      </c>
      <c r="N10" s="17" t="str">
        <f t="shared" si="2"/>
        <v>Blender Ninja</v>
      </c>
      <c r="P10" s="38"/>
      <c r="Q10" s="38"/>
      <c r="R10" s="38"/>
      <c r="S10" s="38"/>
      <c r="T10" s="38"/>
    </row>
    <row r="11" spans="1:20">
      <c r="A11" s="9" t="s">
        <v>37</v>
      </c>
      <c r="B11" s="9" t="s">
        <v>38</v>
      </c>
      <c r="C11" s="9" t="s">
        <v>39</v>
      </c>
      <c r="D11" s="8">
        <v>130</v>
      </c>
      <c r="E11" s="9">
        <v>10</v>
      </c>
      <c r="F11" s="8" t="s">
        <v>40</v>
      </c>
      <c r="H11">
        <f t="shared" si="0"/>
        <v>5</v>
      </c>
      <c r="I11" s="13">
        <v>46270</v>
      </c>
      <c r="J11" s="14" t="s">
        <v>110</v>
      </c>
      <c r="K11" s="14" t="s">
        <v>112</v>
      </c>
      <c r="L11">
        <f t="shared" si="1"/>
        <v>2</v>
      </c>
      <c r="N11" s="17" t="str">
        <f t="shared" si="2"/>
        <v>Tablet Apple</v>
      </c>
      <c r="P11" s="38"/>
      <c r="Q11" s="38"/>
      <c r="R11" s="38"/>
      <c r="S11" s="38"/>
      <c r="T11" s="38"/>
    </row>
    <row r="12" spans="1:20">
      <c r="A12" s="7" t="s">
        <v>41</v>
      </c>
      <c r="B12" s="7" t="s">
        <v>42</v>
      </c>
      <c r="C12" s="7" t="s">
        <v>43</v>
      </c>
      <c r="D12" s="8">
        <v>950</v>
      </c>
      <c r="E12" s="7">
        <v>25</v>
      </c>
      <c r="F12" s="8" t="s">
        <v>9</v>
      </c>
      <c r="H12">
        <f t="shared" si="0"/>
        <v>5</v>
      </c>
      <c r="I12" s="13">
        <v>46309</v>
      </c>
      <c r="J12" s="14" t="s">
        <v>110</v>
      </c>
      <c r="K12" s="14" t="s">
        <v>112</v>
      </c>
      <c r="L12">
        <f t="shared" si="1"/>
        <v>2</v>
      </c>
      <c r="N12" s="17" t="str">
        <f t="shared" si="2"/>
        <v>Hiking Boots Timberland</v>
      </c>
      <c r="P12" s="38"/>
      <c r="Q12" s="38"/>
      <c r="R12" s="38"/>
      <c r="S12" s="38"/>
      <c r="T12" s="38"/>
    </row>
    <row r="13" spans="1:20">
      <c r="A13" s="9" t="s">
        <v>44</v>
      </c>
      <c r="B13" s="9" t="s">
        <v>11</v>
      </c>
      <c r="C13" s="9" t="s">
        <v>30</v>
      </c>
      <c r="D13" s="8">
        <v>90</v>
      </c>
      <c r="E13" s="9">
        <v>40</v>
      </c>
      <c r="F13" s="8" t="s">
        <v>101</v>
      </c>
      <c r="H13">
        <f t="shared" si="0"/>
        <v>5</v>
      </c>
      <c r="I13" s="13">
        <v>46190</v>
      </c>
      <c r="J13" s="14" t="s">
        <v>110</v>
      </c>
      <c r="K13" s="14" t="s">
        <v>113</v>
      </c>
      <c r="L13">
        <f t="shared" si="1"/>
        <v>2</v>
      </c>
      <c r="N13" s="17" t="str">
        <f t="shared" si="2"/>
        <v>Laptop HP</v>
      </c>
    </row>
    <row r="14" spans="1:20">
      <c r="A14" s="7" t="s">
        <v>45</v>
      </c>
      <c r="B14" s="7" t="s">
        <v>15</v>
      </c>
      <c r="C14" s="7" t="s">
        <v>46</v>
      </c>
      <c r="D14" s="8">
        <v>120</v>
      </c>
      <c r="E14" s="7">
        <v>35</v>
      </c>
      <c r="F14" s="8" t="s">
        <v>101</v>
      </c>
      <c r="H14">
        <f t="shared" si="0"/>
        <v>5</v>
      </c>
      <c r="I14" s="13">
        <v>46351</v>
      </c>
      <c r="J14" s="14" t="s">
        <v>110</v>
      </c>
      <c r="K14" s="14" t="s">
        <v>114</v>
      </c>
      <c r="L14">
        <f t="shared" si="1"/>
        <v>2</v>
      </c>
      <c r="N14" s="17" t="str">
        <f t="shared" si="2"/>
        <v>Sneakers Adidas</v>
      </c>
    </row>
    <row r="15" spans="1:20">
      <c r="A15" s="9" t="s">
        <v>47</v>
      </c>
      <c r="B15" s="9" t="s">
        <v>48</v>
      </c>
      <c r="C15" s="9" t="s">
        <v>49</v>
      </c>
      <c r="D15" s="8">
        <v>150</v>
      </c>
      <c r="E15" s="9">
        <v>15</v>
      </c>
      <c r="F15" s="8" t="s">
        <v>9</v>
      </c>
      <c r="H15">
        <f t="shared" si="0"/>
        <v>5</v>
      </c>
      <c r="I15" s="13">
        <v>46364</v>
      </c>
      <c r="J15" s="14" t="s">
        <v>110</v>
      </c>
      <c r="K15" s="14" t="s">
        <v>115</v>
      </c>
      <c r="L15">
        <f t="shared" si="1"/>
        <v>2</v>
      </c>
      <c r="N15" s="17" t="str">
        <f t="shared" si="2"/>
        <v>Coffee Maker Nespresso</v>
      </c>
      <c r="S15" s="34"/>
    </row>
    <row r="16" spans="1:20">
      <c r="A16" s="7" t="s">
        <v>50</v>
      </c>
      <c r="B16" s="7" t="s">
        <v>25</v>
      </c>
      <c r="C16" s="7" t="s">
        <v>52</v>
      </c>
      <c r="D16" s="8">
        <v>250</v>
      </c>
      <c r="E16" s="7">
        <v>20</v>
      </c>
      <c r="F16" s="8" t="s">
        <v>9</v>
      </c>
      <c r="H16">
        <f t="shared" si="0"/>
        <v>5</v>
      </c>
      <c r="I16" s="13">
        <v>46071</v>
      </c>
      <c r="J16" s="14" t="s">
        <v>110</v>
      </c>
      <c r="K16" s="14" t="s">
        <v>116</v>
      </c>
      <c r="L16">
        <f t="shared" si="1"/>
        <v>2</v>
      </c>
      <c r="N16" s="17" t="str">
        <f t="shared" si="2"/>
        <v>Smartwatch Fitbit</v>
      </c>
      <c r="S16" s="34"/>
    </row>
    <row r="17" spans="1:19">
      <c r="A17" s="9" t="s">
        <v>53</v>
      </c>
      <c r="B17" s="9" t="s">
        <v>54</v>
      </c>
      <c r="C17" s="9" t="s">
        <v>55</v>
      </c>
      <c r="D17" s="8">
        <v>50</v>
      </c>
      <c r="E17" s="9">
        <v>35</v>
      </c>
      <c r="F17" s="8" t="s">
        <v>56</v>
      </c>
      <c r="H17">
        <f t="shared" si="0"/>
        <v>5</v>
      </c>
      <c r="I17" s="13">
        <v>46128</v>
      </c>
      <c r="J17" s="14" t="s">
        <v>110</v>
      </c>
      <c r="K17" s="14" t="s">
        <v>117</v>
      </c>
      <c r="L17">
        <f t="shared" si="1"/>
        <v>2</v>
      </c>
      <c r="N17" s="17" t="str">
        <f t="shared" si="2"/>
        <v>Headphones Bose</v>
      </c>
      <c r="S17" s="34"/>
    </row>
    <row r="18" spans="1:19">
      <c r="A18" s="7" t="s">
        <v>57</v>
      </c>
      <c r="B18" s="7" t="s">
        <v>48</v>
      </c>
      <c r="C18" s="7" t="s">
        <v>58</v>
      </c>
      <c r="D18" s="8">
        <v>160</v>
      </c>
      <c r="E18" s="7">
        <v>15</v>
      </c>
      <c r="F18" s="8" t="s">
        <v>9</v>
      </c>
      <c r="H18">
        <f t="shared" si="0"/>
        <v>5</v>
      </c>
      <c r="I18" s="13">
        <v>46255</v>
      </c>
      <c r="J18" s="14" t="s">
        <v>110</v>
      </c>
      <c r="K18" s="14" t="s">
        <v>116</v>
      </c>
      <c r="L18">
        <f t="shared" si="1"/>
        <v>2</v>
      </c>
      <c r="N18" s="17" t="str">
        <f t="shared" si="2"/>
        <v>Laptop Bag Samsonite</v>
      </c>
      <c r="S18" s="34"/>
    </row>
    <row r="19" spans="1:19">
      <c r="A19" s="9" t="s">
        <v>59</v>
      </c>
      <c r="B19" s="9" t="s">
        <v>42</v>
      </c>
      <c r="C19" s="9" t="s">
        <v>60</v>
      </c>
      <c r="D19" s="8">
        <v>980</v>
      </c>
      <c r="E19" s="9">
        <v>10</v>
      </c>
      <c r="F19" s="8" t="s">
        <v>9</v>
      </c>
      <c r="H19">
        <f t="shared" si="0"/>
        <v>5</v>
      </c>
      <c r="I19" s="13">
        <v>46254</v>
      </c>
      <c r="J19" s="14" t="s">
        <v>110</v>
      </c>
      <c r="K19" s="14" t="s">
        <v>118</v>
      </c>
      <c r="L19">
        <f t="shared" si="1"/>
        <v>2</v>
      </c>
      <c r="N19" s="17" t="str">
        <f t="shared" si="2"/>
        <v>Smartwatch Huawei</v>
      </c>
      <c r="S19" s="34"/>
    </row>
    <row r="20" spans="1:19">
      <c r="A20" s="7" t="s">
        <v>61</v>
      </c>
      <c r="B20" s="7" t="s">
        <v>62</v>
      </c>
      <c r="C20" s="7" t="s">
        <v>63</v>
      </c>
      <c r="D20" s="8">
        <v>150</v>
      </c>
      <c r="E20" s="7">
        <v>15</v>
      </c>
      <c r="F20" s="8" t="s">
        <v>13</v>
      </c>
      <c r="H20">
        <f t="shared" si="0"/>
        <v>5</v>
      </c>
      <c r="I20" s="13">
        <v>46049</v>
      </c>
      <c r="J20" s="14" t="s">
        <v>110</v>
      </c>
      <c r="K20" s="14" t="s">
        <v>119</v>
      </c>
      <c r="L20">
        <f t="shared" si="1"/>
        <v>2</v>
      </c>
      <c r="N20" s="17" t="str">
        <f t="shared" si="2"/>
        <v>Laptop Asus</v>
      </c>
      <c r="S20" s="34"/>
    </row>
    <row r="21" spans="1:19">
      <c r="A21" s="9" t="s">
        <v>64</v>
      </c>
      <c r="B21" s="9" t="s">
        <v>65</v>
      </c>
      <c r="C21" s="9" t="s">
        <v>66</v>
      </c>
      <c r="D21" s="8">
        <v>309</v>
      </c>
      <c r="E21" s="9">
        <v>10</v>
      </c>
      <c r="F21" s="8" t="s">
        <v>40</v>
      </c>
      <c r="H21">
        <f t="shared" si="0"/>
        <v>5</v>
      </c>
      <c r="I21" s="13">
        <v>46082</v>
      </c>
      <c r="J21" s="14" t="s">
        <v>110</v>
      </c>
      <c r="K21" s="14" t="s">
        <v>112</v>
      </c>
      <c r="L21">
        <f t="shared" si="1"/>
        <v>2</v>
      </c>
      <c r="N21" s="17" t="str">
        <f t="shared" si="2"/>
        <v>Sunglasses Oakley</v>
      </c>
      <c r="S21" s="34"/>
    </row>
    <row r="22" spans="1:19">
      <c r="A22" s="7" t="s">
        <v>67</v>
      </c>
      <c r="B22" s="7" t="s">
        <v>68</v>
      </c>
      <c r="C22" s="7" t="s">
        <v>69</v>
      </c>
      <c r="D22" s="8">
        <v>700</v>
      </c>
      <c r="E22" s="7">
        <v>50</v>
      </c>
      <c r="F22" s="8" t="s">
        <v>9</v>
      </c>
      <c r="H22">
        <f t="shared" si="0"/>
        <v>5</v>
      </c>
      <c r="I22" s="13">
        <v>46248</v>
      </c>
      <c r="J22" s="14" t="s">
        <v>110</v>
      </c>
      <c r="K22" s="14" t="s">
        <v>111</v>
      </c>
      <c r="L22">
        <f t="shared" si="1"/>
        <v>2</v>
      </c>
      <c r="N22" s="17" t="str">
        <f t="shared" si="2"/>
        <v>Camping Tent Coleman</v>
      </c>
      <c r="S22" s="34"/>
    </row>
    <row r="23" spans="1:19">
      <c r="A23" s="9" t="s">
        <v>70</v>
      </c>
      <c r="B23" s="9" t="s">
        <v>71</v>
      </c>
      <c r="C23" s="9" t="s">
        <v>72</v>
      </c>
      <c r="D23" s="8">
        <v>80</v>
      </c>
      <c r="E23" s="9">
        <v>20</v>
      </c>
      <c r="F23" s="8" t="s">
        <v>17</v>
      </c>
      <c r="H23">
        <f t="shared" si="0"/>
        <v>5</v>
      </c>
      <c r="I23" s="13">
        <v>46156</v>
      </c>
      <c r="J23" s="14" t="s">
        <v>110</v>
      </c>
      <c r="K23" s="14" t="s">
        <v>120</v>
      </c>
      <c r="L23">
        <f t="shared" si="1"/>
        <v>2</v>
      </c>
      <c r="N23" s="17" t="str">
        <f t="shared" si="2"/>
        <v>Camera Nikon</v>
      </c>
      <c r="S23" s="34"/>
    </row>
    <row r="24" spans="1:19">
      <c r="A24" s="7" t="s">
        <v>73</v>
      </c>
      <c r="B24" s="7" t="s">
        <v>74</v>
      </c>
      <c r="C24" s="7" t="s">
        <v>75</v>
      </c>
      <c r="D24" s="8">
        <v>150</v>
      </c>
      <c r="E24" s="7">
        <v>30</v>
      </c>
      <c r="F24" s="8" t="s">
        <v>101</v>
      </c>
      <c r="H24">
        <f t="shared" si="0"/>
        <v>5</v>
      </c>
      <c r="I24" s="13">
        <v>46031</v>
      </c>
      <c r="J24" s="14" t="s">
        <v>110</v>
      </c>
      <c r="K24" s="14" t="s">
        <v>116</v>
      </c>
      <c r="L24">
        <f t="shared" si="1"/>
        <v>2</v>
      </c>
      <c r="N24" s="17" t="str">
        <f t="shared" si="2"/>
        <v>Microwave Panasonic</v>
      </c>
      <c r="S24" s="34"/>
    </row>
    <row r="25" spans="1:19">
      <c r="A25" s="7" t="s">
        <v>76</v>
      </c>
      <c r="B25" s="7" t="s">
        <v>77</v>
      </c>
      <c r="C25" s="7" t="s">
        <v>78</v>
      </c>
      <c r="D25" s="8">
        <v>800</v>
      </c>
      <c r="E25" s="7">
        <v>45</v>
      </c>
      <c r="F25" s="8" t="s">
        <v>9</v>
      </c>
      <c r="H25">
        <f t="shared" si="0"/>
        <v>5</v>
      </c>
      <c r="I25" s="13">
        <v>46222</v>
      </c>
      <c r="J25" s="14" t="s">
        <v>110</v>
      </c>
      <c r="K25" s="14" t="s">
        <v>121</v>
      </c>
      <c r="L25">
        <f t="shared" si="1"/>
        <v>2</v>
      </c>
      <c r="N25" s="17" t="str">
        <f t="shared" si="2"/>
        <v>Fitness Tracker Xiaomi</v>
      </c>
      <c r="S25" s="34"/>
    </row>
    <row r="26" spans="1:19">
      <c r="A26" s="9" t="s">
        <v>79</v>
      </c>
      <c r="B26" s="9" t="s">
        <v>62</v>
      </c>
      <c r="C26" s="9" t="s">
        <v>80</v>
      </c>
      <c r="D26" s="8">
        <v>309</v>
      </c>
      <c r="E26" s="9">
        <v>25</v>
      </c>
      <c r="F26" s="8" t="s">
        <v>13</v>
      </c>
      <c r="H26">
        <f t="shared" si="0"/>
        <v>5</v>
      </c>
      <c r="I26" s="13">
        <v>46294</v>
      </c>
      <c r="J26" s="14" t="s">
        <v>110</v>
      </c>
      <c r="K26" s="14" t="s">
        <v>116</v>
      </c>
      <c r="L26">
        <f t="shared" si="1"/>
        <v>2</v>
      </c>
      <c r="N26" s="17" t="str">
        <f t="shared" si="2"/>
        <v>Smartphone Google</v>
      </c>
      <c r="S26" s="34"/>
    </row>
    <row r="27" spans="1:19">
      <c r="A27" s="7" t="s">
        <v>81</v>
      </c>
      <c r="B27" s="7" t="s">
        <v>32</v>
      </c>
      <c r="C27" s="7" t="s">
        <v>82</v>
      </c>
      <c r="D27" s="8">
        <v>400</v>
      </c>
      <c r="E27" s="7">
        <v>40</v>
      </c>
      <c r="F27" s="8" t="s">
        <v>17</v>
      </c>
      <c r="H27">
        <f t="shared" si="0"/>
        <v>5</v>
      </c>
      <c r="I27" s="13">
        <v>46176</v>
      </c>
      <c r="J27" s="14" t="s">
        <v>110</v>
      </c>
      <c r="K27" s="14" t="s">
        <v>116</v>
      </c>
      <c r="L27">
        <f t="shared" si="1"/>
        <v>2</v>
      </c>
      <c r="N27" s="17" t="str">
        <f t="shared" si="2"/>
        <v>Sunglasses Ray-Ban</v>
      </c>
      <c r="S27" s="34"/>
    </row>
    <row r="28" spans="1:19">
      <c r="A28" s="7" t="s">
        <v>83</v>
      </c>
      <c r="B28" s="7" t="s">
        <v>84</v>
      </c>
      <c r="C28" s="7" t="s">
        <v>85</v>
      </c>
      <c r="D28" s="8">
        <v>60</v>
      </c>
      <c r="E28" s="7">
        <v>30</v>
      </c>
      <c r="F28" s="8" t="s">
        <v>13</v>
      </c>
      <c r="H28">
        <f t="shared" si="0"/>
        <v>5</v>
      </c>
      <c r="I28" s="13">
        <v>46214</v>
      </c>
      <c r="J28" s="14" t="s">
        <v>110</v>
      </c>
      <c r="K28" s="14" t="s">
        <v>116</v>
      </c>
      <c r="L28">
        <f t="shared" si="1"/>
        <v>2</v>
      </c>
      <c r="N28" s="17" t="str">
        <f t="shared" si="2"/>
        <v>Blender Vitamix</v>
      </c>
      <c r="S28" s="34"/>
    </row>
    <row r="29" spans="1:19">
      <c r="A29" s="9" t="s">
        <v>86</v>
      </c>
      <c r="B29" s="9" t="s">
        <v>87</v>
      </c>
      <c r="C29" s="9" t="s">
        <v>88</v>
      </c>
      <c r="D29" s="8">
        <v>40</v>
      </c>
      <c r="E29" s="9">
        <v>10</v>
      </c>
      <c r="F29" s="8" t="s">
        <v>17</v>
      </c>
      <c r="H29">
        <f t="shared" si="0"/>
        <v>5</v>
      </c>
      <c r="I29" s="13">
        <v>46088</v>
      </c>
      <c r="J29" s="14" t="s">
        <v>110</v>
      </c>
      <c r="K29" s="14" t="s">
        <v>116</v>
      </c>
      <c r="L29">
        <f t="shared" si="1"/>
        <v>2</v>
      </c>
      <c r="N29" s="17" t="str">
        <f t="shared" si="2"/>
        <v>Dress Zara</v>
      </c>
      <c r="S29" s="34"/>
    </row>
    <row r="30" spans="1:19">
      <c r="A30" s="7" t="s">
        <v>89</v>
      </c>
      <c r="B30" s="7" t="s">
        <v>74</v>
      </c>
      <c r="C30" s="7" t="s">
        <v>90</v>
      </c>
      <c r="D30" s="8">
        <v>130</v>
      </c>
      <c r="E30" s="7">
        <v>5</v>
      </c>
      <c r="F30" s="8" t="s">
        <v>9</v>
      </c>
      <c r="H30">
        <f t="shared" si="0"/>
        <v>5</v>
      </c>
      <c r="I30" s="13">
        <v>46125</v>
      </c>
      <c r="J30" s="14" t="s">
        <v>110</v>
      </c>
      <c r="K30" s="14" t="s">
        <v>116</v>
      </c>
      <c r="L30">
        <f t="shared" si="1"/>
        <v>2</v>
      </c>
      <c r="N30" s="17" t="str">
        <f t="shared" si="2"/>
        <v>Toaster Hamilton</v>
      </c>
      <c r="S30" s="34"/>
    </row>
    <row r="31" spans="1:19">
      <c r="A31" s="9" t="s">
        <v>91</v>
      </c>
      <c r="B31" s="9" t="s">
        <v>92</v>
      </c>
      <c r="C31" s="9" t="s">
        <v>93</v>
      </c>
      <c r="D31" s="8">
        <v>50</v>
      </c>
      <c r="E31" s="9">
        <v>50</v>
      </c>
      <c r="F31" s="8" t="s">
        <v>13</v>
      </c>
      <c r="H31">
        <f t="shared" si="0"/>
        <v>5</v>
      </c>
      <c r="I31" s="13">
        <v>46166</v>
      </c>
      <c r="J31" s="14" t="s">
        <v>110</v>
      </c>
      <c r="K31" s="14" t="s">
        <v>116</v>
      </c>
      <c r="L31">
        <f t="shared" si="1"/>
        <v>2</v>
      </c>
      <c r="N31" s="17" t="str">
        <f t="shared" si="2"/>
        <v>Fitness Tracker Garmin</v>
      </c>
      <c r="S31" s="34"/>
    </row>
    <row r="32" spans="1:19">
      <c r="A32" s="9" t="s">
        <v>94</v>
      </c>
      <c r="B32" s="9" t="s">
        <v>95</v>
      </c>
      <c r="C32" s="9" t="s">
        <v>96</v>
      </c>
      <c r="D32" s="8">
        <v>100</v>
      </c>
      <c r="E32" s="9">
        <v>20</v>
      </c>
      <c r="F32" s="8" t="s">
        <v>56</v>
      </c>
      <c r="H32">
        <f t="shared" si="0"/>
        <v>5</v>
      </c>
      <c r="I32" s="13">
        <v>46358</v>
      </c>
      <c r="J32" s="14" t="s">
        <v>110</v>
      </c>
      <c r="K32" s="14" t="s">
        <v>116</v>
      </c>
      <c r="L32">
        <f t="shared" si="1"/>
        <v>2</v>
      </c>
      <c r="N32" s="17" t="str">
        <f t="shared" si="2"/>
        <v>Jeans Levi's</v>
      </c>
      <c r="S32" s="34"/>
    </row>
    <row r="33" spans="8:19">
      <c r="H33">
        <f t="shared" si="0"/>
        <v>5</v>
      </c>
      <c r="I33" s="13">
        <v>46212</v>
      </c>
      <c r="J33" s="14" t="s">
        <v>110</v>
      </c>
      <c r="K33" s="14" t="s">
        <v>122</v>
      </c>
      <c r="L33">
        <f t="shared" si="1"/>
        <v>2</v>
      </c>
      <c r="N33" s="17" t="str">
        <f t="shared" si="2"/>
        <v>Watch Casio</v>
      </c>
      <c r="S33" s="34"/>
    </row>
    <row r="34" spans="8:19">
      <c r="S34" s="34"/>
    </row>
    <row r="35" spans="8:19">
      <c r="S35" s="34"/>
    </row>
    <row r="36" spans="8:19">
      <c r="S36" s="34"/>
    </row>
    <row r="37" spans="8:19">
      <c r="S37" s="34"/>
    </row>
    <row r="38" spans="8:19">
      <c r="S38" s="34"/>
    </row>
    <row r="39" spans="8:19">
      <c r="S39" s="34"/>
    </row>
    <row r="40" spans="8:19">
      <c r="S40" s="34"/>
    </row>
    <row r="41" spans="8:19">
      <c r="S41" s="34"/>
    </row>
    <row r="42" spans="8:19">
      <c r="S42" s="34"/>
    </row>
    <row r="43" spans="8:19">
      <c r="S43" s="34"/>
    </row>
    <row r="44" spans="8:19">
      <c r="S44" s="34"/>
    </row>
    <row r="45" spans="8:19">
      <c r="S45" s="34"/>
    </row>
  </sheetData>
  <mergeCells count="1">
    <mergeCell ref="P8:T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F379-57EF-4CD1-AC57-6B9B3EDA5C02}">
  <dimension ref="A1:P32"/>
  <sheetViews>
    <sheetView workbookViewId="0">
      <selection activeCell="A2" sqref="A2:A32"/>
    </sheetView>
  </sheetViews>
  <sheetFormatPr defaultRowHeight="13.2"/>
  <cols>
    <col min="1" max="1" width="18.21875" bestFit="1" customWidth="1"/>
    <col min="2" max="2" width="12.44140625" bestFit="1" customWidth="1"/>
    <col min="3" max="3" width="13.6640625" bestFit="1" customWidth="1"/>
    <col min="4" max="4" width="11.77734375" bestFit="1" customWidth="1"/>
    <col min="5" max="5" width="9.6640625" style="28" bestFit="1" customWidth="1"/>
    <col min="6" max="6" width="8.44140625" bestFit="1" customWidth="1"/>
    <col min="7" max="7" width="11" bestFit="1" customWidth="1"/>
    <col min="8" max="8" width="21.44140625" bestFit="1" customWidth="1"/>
  </cols>
  <sheetData>
    <row r="1" spans="1:16">
      <c r="A1" s="19" t="s">
        <v>124</v>
      </c>
      <c r="B1" s="19" t="s">
        <v>125</v>
      </c>
      <c r="C1" s="19" t="s">
        <v>1</v>
      </c>
      <c r="D1" s="19" t="s">
        <v>2</v>
      </c>
      <c r="E1" s="27" t="s">
        <v>3</v>
      </c>
      <c r="F1" s="19" t="s">
        <v>4</v>
      </c>
      <c r="G1" s="19" t="s">
        <v>5</v>
      </c>
      <c r="H1" s="20" t="s">
        <v>126</v>
      </c>
    </row>
    <row r="2" spans="1:16">
      <c r="A2" s="39">
        <v>46050</v>
      </c>
      <c r="B2" s="22" t="s">
        <v>111</v>
      </c>
      <c r="C2" s="12" t="s">
        <v>42</v>
      </c>
      <c r="D2" s="12" t="s">
        <v>8</v>
      </c>
      <c r="E2" s="26">
        <v>1000</v>
      </c>
      <c r="F2" s="12">
        <v>30</v>
      </c>
      <c r="G2" s="23" t="s">
        <v>9</v>
      </c>
      <c r="H2" s="24" t="s">
        <v>128</v>
      </c>
    </row>
    <row r="3" spans="1:16">
      <c r="A3" s="39">
        <v>46068</v>
      </c>
      <c r="B3" s="22" t="s">
        <v>111</v>
      </c>
      <c r="C3" s="25" t="s">
        <v>11</v>
      </c>
      <c r="D3" s="25" t="s">
        <v>12</v>
      </c>
      <c r="E3" s="26">
        <v>80</v>
      </c>
      <c r="F3" s="25">
        <v>15</v>
      </c>
      <c r="G3" s="23" t="s">
        <v>13</v>
      </c>
      <c r="H3" s="24" t="s">
        <v>130</v>
      </c>
    </row>
    <row r="4" spans="1:16">
      <c r="A4" s="39">
        <v>46084</v>
      </c>
      <c r="B4" s="22" t="s">
        <v>111</v>
      </c>
      <c r="C4" s="12" t="s">
        <v>15</v>
      </c>
      <c r="D4" s="12" t="s">
        <v>16</v>
      </c>
      <c r="E4" s="26">
        <v>130</v>
      </c>
      <c r="F4" s="12">
        <v>40</v>
      </c>
      <c r="G4" s="23" t="s">
        <v>17</v>
      </c>
      <c r="H4" s="24" t="s">
        <v>131</v>
      </c>
    </row>
    <row r="5" spans="1:16">
      <c r="A5" s="39">
        <v>46123</v>
      </c>
      <c r="B5" s="22" t="s">
        <v>111</v>
      </c>
      <c r="C5" s="25" t="s">
        <v>77</v>
      </c>
      <c r="D5" s="25" t="s">
        <v>20</v>
      </c>
      <c r="E5" s="26">
        <v>900</v>
      </c>
      <c r="F5" s="25">
        <v>25</v>
      </c>
      <c r="G5" s="23" t="s">
        <v>9</v>
      </c>
      <c r="H5" s="24" t="s">
        <v>132</v>
      </c>
    </row>
    <row r="6" spans="1:16">
      <c r="A6" s="39">
        <v>46164</v>
      </c>
      <c r="B6" s="22" t="s">
        <v>111</v>
      </c>
      <c r="C6" s="12" t="s">
        <v>22</v>
      </c>
      <c r="D6" s="12" t="s">
        <v>23</v>
      </c>
      <c r="E6" s="26">
        <v>70</v>
      </c>
      <c r="F6" s="12">
        <v>20</v>
      </c>
      <c r="G6" s="23" t="s">
        <v>101</v>
      </c>
      <c r="H6" s="24" t="s">
        <v>133</v>
      </c>
    </row>
    <row r="7" spans="1:16">
      <c r="A7" s="39">
        <v>46180</v>
      </c>
      <c r="B7" s="22" t="s">
        <v>112</v>
      </c>
      <c r="C7" s="25" t="s">
        <v>25</v>
      </c>
      <c r="D7" s="25" t="s">
        <v>26</v>
      </c>
      <c r="E7" s="26">
        <v>309</v>
      </c>
      <c r="F7" s="25">
        <v>45</v>
      </c>
      <c r="G7" s="23" t="s">
        <v>9</v>
      </c>
      <c r="H7" s="24" t="s">
        <v>134</v>
      </c>
      <c r="K7" s="37" t="s">
        <v>167</v>
      </c>
      <c r="L7" s="37"/>
      <c r="M7" s="37"/>
      <c r="N7" s="37"/>
      <c r="O7" s="37"/>
      <c r="P7" s="37"/>
    </row>
    <row r="8" spans="1:16">
      <c r="A8" s="39">
        <v>46222</v>
      </c>
      <c r="B8" s="22" t="s">
        <v>112</v>
      </c>
      <c r="C8" s="12" t="s">
        <v>106</v>
      </c>
      <c r="D8" s="12" t="s">
        <v>30</v>
      </c>
      <c r="E8" s="26">
        <v>30</v>
      </c>
      <c r="F8" s="12">
        <v>5</v>
      </c>
      <c r="G8" s="23" t="s">
        <v>13</v>
      </c>
      <c r="H8" s="24" t="s">
        <v>135</v>
      </c>
      <c r="K8" s="37"/>
      <c r="L8" s="37"/>
      <c r="M8" s="37"/>
      <c r="N8" s="37"/>
      <c r="O8" s="37"/>
      <c r="P8" s="37"/>
    </row>
    <row r="9" spans="1:16">
      <c r="A9" s="39">
        <v>46257</v>
      </c>
      <c r="B9" s="22" t="s">
        <v>112</v>
      </c>
      <c r="C9" s="25" t="s">
        <v>32</v>
      </c>
      <c r="D9" s="25" t="s">
        <v>33</v>
      </c>
      <c r="E9" s="26">
        <v>90</v>
      </c>
      <c r="F9" s="25">
        <v>35</v>
      </c>
      <c r="G9" s="23" t="s">
        <v>17</v>
      </c>
      <c r="H9" s="24" t="s">
        <v>136</v>
      </c>
      <c r="K9" s="37"/>
      <c r="L9" s="37"/>
      <c r="M9" s="37"/>
      <c r="N9" s="37"/>
      <c r="O9" s="37"/>
      <c r="P9" s="37"/>
    </row>
    <row r="10" spans="1:16">
      <c r="A10" s="39">
        <v>46270</v>
      </c>
      <c r="B10" s="22" t="s">
        <v>112</v>
      </c>
      <c r="C10" s="12" t="s">
        <v>35</v>
      </c>
      <c r="D10" s="12" t="s">
        <v>36</v>
      </c>
      <c r="E10" s="26">
        <v>500</v>
      </c>
      <c r="F10" s="12">
        <v>50</v>
      </c>
      <c r="G10" s="23" t="s">
        <v>9</v>
      </c>
      <c r="H10" s="24" t="s">
        <v>137</v>
      </c>
      <c r="K10" s="37"/>
      <c r="L10" s="37"/>
      <c r="M10" s="37"/>
      <c r="N10" s="37"/>
      <c r="O10" s="37"/>
      <c r="P10" s="37"/>
    </row>
    <row r="11" spans="1:16">
      <c r="A11" s="39">
        <v>46309</v>
      </c>
      <c r="B11" s="22" t="s">
        <v>112</v>
      </c>
      <c r="C11" s="25" t="s">
        <v>38</v>
      </c>
      <c r="D11" s="25" t="s">
        <v>39</v>
      </c>
      <c r="E11" s="26">
        <v>130</v>
      </c>
      <c r="F11" s="25">
        <v>10</v>
      </c>
      <c r="G11" s="23" t="s">
        <v>40</v>
      </c>
      <c r="H11" s="24" t="s">
        <v>138</v>
      </c>
      <c r="K11" s="37"/>
      <c r="L11" s="37"/>
      <c r="M11" s="37"/>
      <c r="N11" s="37"/>
      <c r="O11" s="37"/>
      <c r="P11" s="37"/>
    </row>
    <row r="12" spans="1:16">
      <c r="A12" s="39">
        <v>46190</v>
      </c>
      <c r="B12" s="22" t="s">
        <v>113</v>
      </c>
      <c r="C12" s="12" t="s">
        <v>42</v>
      </c>
      <c r="D12" s="12" t="s">
        <v>43</v>
      </c>
      <c r="E12" s="26">
        <v>950</v>
      </c>
      <c r="F12" s="12">
        <v>25</v>
      </c>
      <c r="G12" s="23" t="s">
        <v>9</v>
      </c>
      <c r="H12" s="24" t="s">
        <v>139</v>
      </c>
    </row>
    <row r="13" spans="1:16">
      <c r="A13" s="39">
        <v>46351</v>
      </c>
      <c r="B13" s="22" t="s">
        <v>114</v>
      </c>
      <c r="C13" s="25" t="s">
        <v>11</v>
      </c>
      <c r="D13" s="25" t="s">
        <v>30</v>
      </c>
      <c r="E13" s="26">
        <v>90</v>
      </c>
      <c r="F13" s="25">
        <v>40</v>
      </c>
      <c r="G13" s="23" t="s">
        <v>101</v>
      </c>
      <c r="H13" s="24" t="s">
        <v>140</v>
      </c>
    </row>
    <row r="14" spans="1:16">
      <c r="A14" s="39">
        <v>46364</v>
      </c>
      <c r="B14" s="22" t="s">
        <v>115</v>
      </c>
      <c r="C14" s="12" t="s">
        <v>15</v>
      </c>
      <c r="D14" s="12" t="s">
        <v>46</v>
      </c>
      <c r="E14" s="26">
        <v>120</v>
      </c>
      <c r="F14" s="12">
        <v>35</v>
      </c>
      <c r="G14" s="23" t="s">
        <v>101</v>
      </c>
      <c r="H14" s="24" t="s">
        <v>141</v>
      </c>
    </row>
    <row r="15" spans="1:16">
      <c r="A15" s="39">
        <v>46071</v>
      </c>
      <c r="B15" s="22" t="s">
        <v>116</v>
      </c>
      <c r="C15" s="25" t="s">
        <v>48</v>
      </c>
      <c r="D15" s="25" t="s">
        <v>49</v>
      </c>
      <c r="E15" s="26">
        <v>150</v>
      </c>
      <c r="F15" s="25">
        <v>15</v>
      </c>
      <c r="G15" s="23" t="s">
        <v>9</v>
      </c>
      <c r="H15" s="24" t="s">
        <v>142</v>
      </c>
    </row>
    <row r="16" spans="1:16">
      <c r="A16" s="39">
        <v>46128</v>
      </c>
      <c r="B16" s="22" t="s">
        <v>117</v>
      </c>
      <c r="C16" s="12" t="s">
        <v>25</v>
      </c>
      <c r="D16" s="12" t="s">
        <v>52</v>
      </c>
      <c r="E16" s="26">
        <v>250</v>
      </c>
      <c r="F16" s="12">
        <v>20</v>
      </c>
      <c r="G16" s="23" t="s">
        <v>9</v>
      </c>
      <c r="H16" s="24" t="s">
        <v>143</v>
      </c>
    </row>
    <row r="17" spans="1:8">
      <c r="A17" s="39">
        <v>46255</v>
      </c>
      <c r="B17" s="22" t="s">
        <v>116</v>
      </c>
      <c r="C17" s="25" t="s">
        <v>54</v>
      </c>
      <c r="D17" s="25" t="s">
        <v>55</v>
      </c>
      <c r="E17" s="26">
        <v>50</v>
      </c>
      <c r="F17" s="25">
        <v>35</v>
      </c>
      <c r="G17" s="23" t="s">
        <v>56</v>
      </c>
      <c r="H17" s="24" t="s">
        <v>144</v>
      </c>
    </row>
    <row r="18" spans="1:8">
      <c r="A18" s="39">
        <v>46254</v>
      </c>
      <c r="B18" s="22" t="s">
        <v>118</v>
      </c>
      <c r="C18" s="12" t="s">
        <v>48</v>
      </c>
      <c r="D18" s="12" t="s">
        <v>58</v>
      </c>
      <c r="E18" s="26">
        <v>160</v>
      </c>
      <c r="F18" s="12">
        <v>15</v>
      </c>
      <c r="G18" s="23" t="s">
        <v>9</v>
      </c>
      <c r="H18" s="24" t="s">
        <v>145</v>
      </c>
    </row>
    <row r="19" spans="1:8">
      <c r="A19" s="39">
        <v>46049</v>
      </c>
      <c r="B19" s="22" t="s">
        <v>119</v>
      </c>
      <c r="C19" s="25" t="s">
        <v>42</v>
      </c>
      <c r="D19" s="25" t="s">
        <v>60</v>
      </c>
      <c r="E19" s="26">
        <v>980</v>
      </c>
      <c r="F19" s="25">
        <v>10</v>
      </c>
      <c r="G19" s="23" t="s">
        <v>9</v>
      </c>
      <c r="H19" s="24" t="s">
        <v>146</v>
      </c>
    </row>
    <row r="20" spans="1:8">
      <c r="A20" s="39">
        <v>46082</v>
      </c>
      <c r="B20" s="22" t="s">
        <v>112</v>
      </c>
      <c r="C20" s="12" t="s">
        <v>62</v>
      </c>
      <c r="D20" s="12" t="s">
        <v>63</v>
      </c>
      <c r="E20" s="26">
        <v>150</v>
      </c>
      <c r="F20" s="12">
        <v>15</v>
      </c>
      <c r="G20" s="23" t="s">
        <v>13</v>
      </c>
      <c r="H20" s="24" t="s">
        <v>147</v>
      </c>
    </row>
    <row r="21" spans="1:8">
      <c r="A21" s="39">
        <v>46248</v>
      </c>
      <c r="B21" s="22" t="s">
        <v>111</v>
      </c>
      <c r="C21" s="25" t="s">
        <v>65</v>
      </c>
      <c r="D21" s="25" t="s">
        <v>66</v>
      </c>
      <c r="E21" s="26">
        <v>309</v>
      </c>
      <c r="F21" s="25">
        <v>10</v>
      </c>
      <c r="G21" s="23" t="s">
        <v>40</v>
      </c>
      <c r="H21" s="24" t="s">
        <v>148</v>
      </c>
    </row>
    <row r="22" spans="1:8">
      <c r="A22" s="39">
        <v>46156</v>
      </c>
      <c r="B22" s="22" t="s">
        <v>120</v>
      </c>
      <c r="C22" s="12" t="s">
        <v>68</v>
      </c>
      <c r="D22" s="12" t="s">
        <v>69</v>
      </c>
      <c r="E22" s="26">
        <v>700</v>
      </c>
      <c r="F22" s="12">
        <v>50</v>
      </c>
      <c r="G22" s="23" t="s">
        <v>9</v>
      </c>
      <c r="H22" s="24" t="s">
        <v>149</v>
      </c>
    </row>
    <row r="23" spans="1:8">
      <c r="A23" s="39">
        <v>46031</v>
      </c>
      <c r="B23" s="22" t="s">
        <v>116</v>
      </c>
      <c r="C23" s="25" t="s">
        <v>71</v>
      </c>
      <c r="D23" s="25" t="s">
        <v>72</v>
      </c>
      <c r="E23" s="26">
        <v>80</v>
      </c>
      <c r="F23" s="25">
        <v>20</v>
      </c>
      <c r="G23" s="23" t="s">
        <v>17</v>
      </c>
      <c r="H23" s="24" t="s">
        <v>150</v>
      </c>
    </row>
    <row r="24" spans="1:8">
      <c r="A24" s="39">
        <v>46222</v>
      </c>
      <c r="B24" s="22" t="s">
        <v>121</v>
      </c>
      <c r="C24" s="12" t="s">
        <v>74</v>
      </c>
      <c r="D24" s="12" t="s">
        <v>75</v>
      </c>
      <c r="E24" s="26">
        <v>150</v>
      </c>
      <c r="F24" s="12">
        <v>30</v>
      </c>
      <c r="G24" s="23" t="s">
        <v>101</v>
      </c>
      <c r="H24" s="24" t="s">
        <v>151</v>
      </c>
    </row>
    <row r="25" spans="1:8">
      <c r="A25" s="39">
        <v>46294</v>
      </c>
      <c r="B25" s="22" t="s">
        <v>116</v>
      </c>
      <c r="C25" s="12" t="s">
        <v>77</v>
      </c>
      <c r="D25" s="12" t="s">
        <v>78</v>
      </c>
      <c r="E25" s="26">
        <v>800</v>
      </c>
      <c r="F25" s="12">
        <v>45</v>
      </c>
      <c r="G25" s="23" t="s">
        <v>9</v>
      </c>
      <c r="H25" s="24" t="s">
        <v>152</v>
      </c>
    </row>
    <row r="26" spans="1:8">
      <c r="A26" s="39">
        <v>46176</v>
      </c>
      <c r="B26" s="22" t="s">
        <v>116</v>
      </c>
      <c r="C26" s="25" t="s">
        <v>62</v>
      </c>
      <c r="D26" s="25" t="s">
        <v>80</v>
      </c>
      <c r="E26" s="26">
        <v>309</v>
      </c>
      <c r="F26" s="25">
        <v>25</v>
      </c>
      <c r="G26" s="23" t="s">
        <v>13</v>
      </c>
      <c r="H26" s="24" t="s">
        <v>153</v>
      </c>
    </row>
    <row r="27" spans="1:8">
      <c r="A27" s="39">
        <v>46214</v>
      </c>
      <c r="B27" s="22" t="s">
        <v>116</v>
      </c>
      <c r="C27" s="12" t="s">
        <v>32</v>
      </c>
      <c r="D27" s="12" t="s">
        <v>82</v>
      </c>
      <c r="E27" s="26">
        <v>400</v>
      </c>
      <c r="F27" s="12">
        <v>40</v>
      </c>
      <c r="G27" s="23" t="s">
        <v>17</v>
      </c>
      <c r="H27" s="24" t="s">
        <v>154</v>
      </c>
    </row>
    <row r="28" spans="1:8">
      <c r="A28" s="39">
        <v>46088</v>
      </c>
      <c r="B28" s="22" t="s">
        <v>116</v>
      </c>
      <c r="C28" s="12" t="s">
        <v>84</v>
      </c>
      <c r="D28" s="12" t="s">
        <v>85</v>
      </c>
      <c r="E28" s="26">
        <v>60</v>
      </c>
      <c r="F28" s="12">
        <v>30</v>
      </c>
      <c r="G28" s="23" t="s">
        <v>13</v>
      </c>
      <c r="H28" s="24" t="s">
        <v>155</v>
      </c>
    </row>
    <row r="29" spans="1:8">
      <c r="A29" s="39">
        <v>46125</v>
      </c>
      <c r="B29" s="22" t="s">
        <v>116</v>
      </c>
      <c r="C29" s="25" t="s">
        <v>87</v>
      </c>
      <c r="D29" s="25" t="s">
        <v>88</v>
      </c>
      <c r="E29" s="26">
        <v>40</v>
      </c>
      <c r="F29" s="25">
        <v>10</v>
      </c>
      <c r="G29" s="23" t="s">
        <v>17</v>
      </c>
      <c r="H29" s="24" t="s">
        <v>156</v>
      </c>
    </row>
    <row r="30" spans="1:8">
      <c r="A30" s="39">
        <v>46166</v>
      </c>
      <c r="B30" s="22" t="s">
        <v>116</v>
      </c>
      <c r="C30" s="12" t="s">
        <v>74</v>
      </c>
      <c r="D30" s="12" t="s">
        <v>90</v>
      </c>
      <c r="E30" s="26">
        <v>130</v>
      </c>
      <c r="F30" s="12">
        <v>5</v>
      </c>
      <c r="G30" s="23" t="s">
        <v>9</v>
      </c>
      <c r="H30" s="24" t="s">
        <v>157</v>
      </c>
    </row>
    <row r="31" spans="1:8">
      <c r="A31" s="39">
        <v>46358</v>
      </c>
      <c r="B31" s="22" t="s">
        <v>116</v>
      </c>
      <c r="C31" s="25" t="s">
        <v>92</v>
      </c>
      <c r="D31" s="25" t="s">
        <v>93</v>
      </c>
      <c r="E31" s="26">
        <v>50</v>
      </c>
      <c r="F31" s="25">
        <v>50</v>
      </c>
      <c r="G31" s="23" t="s">
        <v>13</v>
      </c>
      <c r="H31" s="24" t="s">
        <v>158</v>
      </c>
    </row>
    <row r="32" spans="1:8">
      <c r="A32" s="39">
        <v>46212</v>
      </c>
      <c r="B32" s="22" t="s">
        <v>122</v>
      </c>
      <c r="C32" s="25" t="s">
        <v>95</v>
      </c>
      <c r="D32" s="25" t="s">
        <v>96</v>
      </c>
      <c r="E32" s="26">
        <v>100</v>
      </c>
      <c r="F32" s="25">
        <v>20</v>
      </c>
      <c r="G32" s="23" t="s">
        <v>56</v>
      </c>
      <c r="H32" s="24" t="s">
        <v>159</v>
      </c>
    </row>
  </sheetData>
  <mergeCells count="1">
    <mergeCell ref="K7:P11"/>
  </mergeCells>
  <conditionalFormatting sqref="B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{31F0494A-0288-478A-9D84-73CA864B19A7}</x14:id>
        </ext>
      </extLst>
    </cfRule>
  </conditionalFormatting>
  <conditionalFormatting sqref="C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{DDB733C0-8557-455A-8A70-2D49869E5DD3}</x14:id>
        </ext>
      </extLst>
    </cfRule>
  </conditionalFormatting>
  <conditionalFormatting sqref="E1:E32 G1:G32">
    <cfRule type="expression" dxfId="34" priority="1">
      <formula>$E$1:$G$32="Electronics"</formula>
    </cfRule>
  </conditionalFormatting>
  <conditionalFormatting sqref="H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{62E1B3F3-842F-46D6-9D79-DF3F0F21E3DF}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F0494A-0288-478A-9D84-73CA864B19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</xm:sqref>
        </x14:conditionalFormatting>
        <x14:conditionalFormatting xmlns:xm="http://schemas.microsoft.com/office/excel/2006/main">
          <x14:cfRule type="dataBar" id="{DDB733C0-8557-455A-8A70-2D49869E5DD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</xm:sqref>
        </x14:conditionalFormatting>
        <x14:conditionalFormatting xmlns:xm="http://schemas.microsoft.com/office/excel/2006/main">
          <x14:cfRule type="dataBar" id="{62E1B3F3-842F-46D6-9D79-DF3F0F21E3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62F5-CDE6-4B7F-8AAE-55A63A867D86}">
  <dimension ref="A1:Q32"/>
  <sheetViews>
    <sheetView workbookViewId="0">
      <selection activeCell="M24" sqref="M24"/>
    </sheetView>
  </sheetViews>
  <sheetFormatPr defaultRowHeight="13.2"/>
  <cols>
    <col min="1" max="1" width="18.21875" bestFit="1" customWidth="1"/>
    <col min="2" max="2" width="12.44140625" bestFit="1" customWidth="1"/>
    <col min="3" max="3" width="13.6640625" bestFit="1" customWidth="1"/>
    <col min="4" max="4" width="11.77734375" bestFit="1" customWidth="1"/>
    <col min="5" max="5" width="9.6640625" bestFit="1" customWidth="1"/>
    <col min="6" max="6" width="8.44140625" bestFit="1" customWidth="1"/>
    <col min="7" max="7" width="11" bestFit="1" customWidth="1"/>
    <col min="8" max="8" width="21.44140625" bestFit="1" customWidth="1"/>
  </cols>
  <sheetData>
    <row r="1" spans="1:17">
      <c r="A1" s="19" t="s">
        <v>124</v>
      </c>
      <c r="B1" s="19" t="s">
        <v>125</v>
      </c>
      <c r="C1" s="19" t="s">
        <v>1</v>
      </c>
      <c r="D1" s="19" t="s">
        <v>2</v>
      </c>
      <c r="E1" s="27" t="s">
        <v>3</v>
      </c>
      <c r="F1" s="19" t="s">
        <v>4</v>
      </c>
      <c r="G1" s="19" t="s">
        <v>5</v>
      </c>
      <c r="H1" s="20" t="s">
        <v>126</v>
      </c>
    </row>
    <row r="2" spans="1:17">
      <c r="A2" s="21">
        <v>46050</v>
      </c>
      <c r="B2" s="22" t="s">
        <v>111</v>
      </c>
      <c r="C2" s="12" t="s">
        <v>42</v>
      </c>
      <c r="D2" s="12" t="s">
        <v>8</v>
      </c>
      <c r="E2" s="26">
        <v>1000</v>
      </c>
      <c r="F2" s="12">
        <v>30</v>
      </c>
      <c r="G2" s="23" t="s">
        <v>9</v>
      </c>
      <c r="H2" s="24" t="s">
        <v>128</v>
      </c>
    </row>
    <row r="3" spans="1:17">
      <c r="A3" s="21">
        <v>46068</v>
      </c>
      <c r="B3" s="22" t="s">
        <v>111</v>
      </c>
      <c r="C3" s="25" t="s">
        <v>11</v>
      </c>
      <c r="D3" s="25" t="s">
        <v>12</v>
      </c>
      <c r="E3" s="26">
        <v>80</v>
      </c>
      <c r="F3" s="25">
        <v>15</v>
      </c>
      <c r="G3" s="23" t="s">
        <v>13</v>
      </c>
      <c r="H3" s="24" t="s">
        <v>130</v>
      </c>
    </row>
    <row r="4" spans="1:17">
      <c r="A4" s="21">
        <v>46084</v>
      </c>
      <c r="B4" s="22" t="s">
        <v>111</v>
      </c>
      <c r="C4" s="12" t="s">
        <v>15</v>
      </c>
      <c r="D4" s="12" t="s">
        <v>16</v>
      </c>
      <c r="E4" s="26">
        <v>130</v>
      </c>
      <c r="F4" s="12">
        <v>40</v>
      </c>
      <c r="G4" s="23" t="s">
        <v>17</v>
      </c>
      <c r="H4" s="24" t="s">
        <v>131</v>
      </c>
    </row>
    <row r="5" spans="1:17">
      <c r="A5" s="21">
        <v>46123</v>
      </c>
      <c r="B5" s="22" t="s">
        <v>111</v>
      </c>
      <c r="C5" s="25" t="s">
        <v>77</v>
      </c>
      <c r="D5" s="25" t="s">
        <v>20</v>
      </c>
      <c r="E5" s="26">
        <v>900</v>
      </c>
      <c r="F5" s="25">
        <v>25</v>
      </c>
      <c r="G5" s="23" t="s">
        <v>9</v>
      </c>
      <c r="H5" s="24" t="s">
        <v>132</v>
      </c>
    </row>
    <row r="6" spans="1:17">
      <c r="A6" s="21">
        <v>46164</v>
      </c>
      <c r="B6" s="22" t="s">
        <v>111</v>
      </c>
      <c r="C6" s="12" t="s">
        <v>22</v>
      </c>
      <c r="D6" s="12" t="s">
        <v>23</v>
      </c>
      <c r="E6" s="26">
        <v>70</v>
      </c>
      <c r="F6" s="12">
        <v>20</v>
      </c>
      <c r="G6" s="23" t="s">
        <v>101</v>
      </c>
      <c r="H6" s="24" t="s">
        <v>133</v>
      </c>
    </row>
    <row r="7" spans="1:17">
      <c r="A7" s="21">
        <v>46180</v>
      </c>
      <c r="B7" s="22" t="s">
        <v>112</v>
      </c>
      <c r="C7" s="25" t="s">
        <v>25</v>
      </c>
      <c r="D7" s="25" t="s">
        <v>26</v>
      </c>
      <c r="E7" s="26">
        <v>309</v>
      </c>
      <c r="F7" s="25">
        <v>45</v>
      </c>
      <c r="G7" s="23" t="s">
        <v>9</v>
      </c>
      <c r="H7" s="24" t="s">
        <v>134</v>
      </c>
    </row>
    <row r="8" spans="1:17">
      <c r="A8" s="21">
        <v>46222</v>
      </c>
      <c r="B8" s="22" t="s">
        <v>112</v>
      </c>
      <c r="C8" s="12" t="s">
        <v>106</v>
      </c>
      <c r="D8" s="12" t="s">
        <v>30</v>
      </c>
      <c r="E8" s="26">
        <v>30</v>
      </c>
      <c r="F8" s="12">
        <v>5</v>
      </c>
      <c r="G8" s="23" t="s">
        <v>13</v>
      </c>
      <c r="H8" s="24" t="s">
        <v>135</v>
      </c>
    </row>
    <row r="9" spans="1:17">
      <c r="A9" s="21">
        <v>46257</v>
      </c>
      <c r="B9" s="22" t="s">
        <v>112</v>
      </c>
      <c r="C9" s="25" t="s">
        <v>32</v>
      </c>
      <c r="D9" s="25" t="s">
        <v>33</v>
      </c>
      <c r="E9" s="26">
        <v>90</v>
      </c>
      <c r="F9" s="25">
        <v>35</v>
      </c>
      <c r="G9" s="23" t="s">
        <v>17</v>
      </c>
      <c r="H9" s="24" t="s">
        <v>136</v>
      </c>
      <c r="K9" s="37" t="s">
        <v>168</v>
      </c>
      <c r="L9" s="37"/>
      <c r="M9" s="37"/>
      <c r="N9" s="37"/>
      <c r="O9" s="37"/>
      <c r="P9" s="37"/>
      <c r="Q9" s="37"/>
    </row>
    <row r="10" spans="1:17">
      <c r="A10" s="21">
        <v>46270</v>
      </c>
      <c r="B10" s="22" t="s">
        <v>112</v>
      </c>
      <c r="C10" s="12" t="s">
        <v>35</v>
      </c>
      <c r="D10" s="12" t="s">
        <v>36</v>
      </c>
      <c r="E10" s="26">
        <v>500</v>
      </c>
      <c r="F10" s="12">
        <v>50</v>
      </c>
      <c r="G10" s="23" t="s">
        <v>9</v>
      </c>
      <c r="H10" s="24" t="s">
        <v>137</v>
      </c>
      <c r="K10" s="37"/>
      <c r="L10" s="37"/>
      <c r="M10" s="37"/>
      <c r="N10" s="37"/>
      <c r="O10" s="37"/>
      <c r="P10" s="37"/>
      <c r="Q10" s="37"/>
    </row>
    <row r="11" spans="1:17">
      <c r="A11" s="21">
        <v>46309</v>
      </c>
      <c r="B11" s="22" t="s">
        <v>112</v>
      </c>
      <c r="C11" s="25" t="s">
        <v>38</v>
      </c>
      <c r="D11" s="25" t="s">
        <v>39</v>
      </c>
      <c r="E11" s="26">
        <v>130</v>
      </c>
      <c r="F11" s="25">
        <v>10</v>
      </c>
      <c r="G11" s="23" t="s">
        <v>40</v>
      </c>
      <c r="H11" s="24" t="s">
        <v>138</v>
      </c>
      <c r="K11" s="37"/>
      <c r="L11" s="37"/>
      <c r="M11" s="37"/>
      <c r="N11" s="37"/>
      <c r="O11" s="37"/>
      <c r="P11" s="37"/>
      <c r="Q11" s="37"/>
    </row>
    <row r="12" spans="1:17">
      <c r="A12" s="21">
        <v>46190</v>
      </c>
      <c r="B12" s="22" t="s">
        <v>113</v>
      </c>
      <c r="C12" s="12" t="s">
        <v>42</v>
      </c>
      <c r="D12" s="12" t="s">
        <v>43</v>
      </c>
      <c r="E12" s="26">
        <v>950</v>
      </c>
      <c r="F12" s="12">
        <v>25</v>
      </c>
      <c r="G12" s="23" t="s">
        <v>9</v>
      </c>
      <c r="H12" s="24" t="s">
        <v>139</v>
      </c>
      <c r="K12" s="37"/>
      <c r="L12" s="37"/>
      <c r="M12" s="37"/>
      <c r="N12" s="37"/>
      <c r="O12" s="37"/>
      <c r="P12" s="37"/>
      <c r="Q12" s="37"/>
    </row>
    <row r="13" spans="1:17">
      <c r="A13" s="21">
        <v>46351</v>
      </c>
      <c r="B13" s="22" t="s">
        <v>114</v>
      </c>
      <c r="C13" s="25" t="s">
        <v>11</v>
      </c>
      <c r="D13" s="25" t="s">
        <v>30</v>
      </c>
      <c r="E13" s="26">
        <v>90</v>
      </c>
      <c r="F13" s="25">
        <v>40</v>
      </c>
      <c r="G13" s="23" t="s">
        <v>101</v>
      </c>
      <c r="H13" s="24" t="s">
        <v>140</v>
      </c>
      <c r="K13" s="37"/>
      <c r="L13" s="37"/>
      <c r="M13" s="37"/>
      <c r="N13" s="37"/>
      <c r="O13" s="37"/>
      <c r="P13" s="37"/>
      <c r="Q13" s="37"/>
    </row>
    <row r="14" spans="1:17">
      <c r="A14" s="21">
        <v>46364</v>
      </c>
      <c r="B14" s="22" t="s">
        <v>115</v>
      </c>
      <c r="C14" s="12" t="s">
        <v>15</v>
      </c>
      <c r="D14" s="12" t="s">
        <v>46</v>
      </c>
      <c r="E14" s="26">
        <v>120</v>
      </c>
      <c r="F14" s="12">
        <v>35</v>
      </c>
      <c r="G14" s="23" t="s">
        <v>101</v>
      </c>
      <c r="H14" s="24" t="s">
        <v>141</v>
      </c>
      <c r="K14" s="37"/>
      <c r="L14" s="37"/>
      <c r="M14" s="37"/>
      <c r="N14" s="37"/>
      <c r="O14" s="37"/>
      <c r="P14" s="37"/>
      <c r="Q14" s="37"/>
    </row>
    <row r="15" spans="1:17">
      <c r="A15" s="21">
        <v>46071</v>
      </c>
      <c r="B15" s="22" t="s">
        <v>116</v>
      </c>
      <c r="C15" s="25" t="s">
        <v>48</v>
      </c>
      <c r="D15" s="25" t="s">
        <v>49</v>
      </c>
      <c r="E15" s="26">
        <v>150</v>
      </c>
      <c r="F15" s="25">
        <v>15</v>
      </c>
      <c r="G15" s="23" t="s">
        <v>9</v>
      </c>
      <c r="H15" s="24" t="s">
        <v>142</v>
      </c>
    </row>
    <row r="16" spans="1:17">
      <c r="A16" s="21">
        <v>46128</v>
      </c>
      <c r="B16" s="22" t="s">
        <v>117</v>
      </c>
      <c r="C16" s="12" t="s">
        <v>25</v>
      </c>
      <c r="D16" s="12" t="s">
        <v>52</v>
      </c>
      <c r="E16" s="26">
        <v>250</v>
      </c>
      <c r="F16" s="12">
        <v>20</v>
      </c>
      <c r="G16" s="23" t="s">
        <v>9</v>
      </c>
      <c r="H16" s="24" t="s">
        <v>143</v>
      </c>
    </row>
    <row r="17" spans="1:8">
      <c r="A17" s="21">
        <v>46255</v>
      </c>
      <c r="B17" s="22" t="s">
        <v>116</v>
      </c>
      <c r="C17" s="25" t="s">
        <v>54</v>
      </c>
      <c r="D17" s="25" t="s">
        <v>55</v>
      </c>
      <c r="E17" s="26">
        <v>50</v>
      </c>
      <c r="F17" s="25">
        <v>35</v>
      </c>
      <c r="G17" s="23" t="s">
        <v>56</v>
      </c>
      <c r="H17" s="24" t="s">
        <v>144</v>
      </c>
    </row>
    <row r="18" spans="1:8">
      <c r="A18" s="21">
        <v>46254</v>
      </c>
      <c r="B18" s="22" t="s">
        <v>118</v>
      </c>
      <c r="C18" s="12" t="s">
        <v>48</v>
      </c>
      <c r="D18" s="12" t="s">
        <v>58</v>
      </c>
      <c r="E18" s="26">
        <v>160</v>
      </c>
      <c r="F18" s="12">
        <v>15</v>
      </c>
      <c r="G18" s="23" t="s">
        <v>9</v>
      </c>
      <c r="H18" s="24" t="s">
        <v>145</v>
      </c>
    </row>
    <row r="19" spans="1:8">
      <c r="A19" s="21">
        <v>46049</v>
      </c>
      <c r="B19" s="22" t="s">
        <v>119</v>
      </c>
      <c r="C19" s="25" t="s">
        <v>42</v>
      </c>
      <c r="D19" s="25" t="s">
        <v>60</v>
      </c>
      <c r="E19" s="26">
        <v>980</v>
      </c>
      <c r="F19" s="25">
        <v>10</v>
      </c>
      <c r="G19" s="23" t="s">
        <v>9</v>
      </c>
      <c r="H19" s="24" t="s">
        <v>146</v>
      </c>
    </row>
    <row r="20" spans="1:8">
      <c r="A20" s="21">
        <v>46082</v>
      </c>
      <c r="B20" s="22" t="s">
        <v>112</v>
      </c>
      <c r="C20" s="12" t="s">
        <v>62</v>
      </c>
      <c r="D20" s="12" t="s">
        <v>63</v>
      </c>
      <c r="E20" s="26">
        <v>150</v>
      </c>
      <c r="F20" s="12">
        <v>15</v>
      </c>
      <c r="G20" s="23" t="s">
        <v>13</v>
      </c>
      <c r="H20" s="24" t="s">
        <v>147</v>
      </c>
    </row>
    <row r="21" spans="1:8">
      <c r="A21" s="21">
        <v>46248</v>
      </c>
      <c r="B21" s="22" t="s">
        <v>111</v>
      </c>
      <c r="C21" s="25" t="s">
        <v>65</v>
      </c>
      <c r="D21" s="25" t="s">
        <v>66</v>
      </c>
      <c r="E21" s="26">
        <v>309</v>
      </c>
      <c r="F21" s="25">
        <v>10</v>
      </c>
      <c r="G21" s="23" t="s">
        <v>40</v>
      </c>
      <c r="H21" s="24" t="s">
        <v>148</v>
      </c>
    </row>
    <row r="22" spans="1:8">
      <c r="A22" s="21">
        <v>46156</v>
      </c>
      <c r="B22" s="22" t="s">
        <v>120</v>
      </c>
      <c r="C22" s="12" t="s">
        <v>68</v>
      </c>
      <c r="D22" s="12" t="s">
        <v>69</v>
      </c>
      <c r="E22" s="26">
        <v>700</v>
      </c>
      <c r="F22" s="12">
        <v>50</v>
      </c>
      <c r="G22" s="23" t="s">
        <v>9</v>
      </c>
      <c r="H22" s="24" t="s">
        <v>149</v>
      </c>
    </row>
    <row r="23" spans="1:8">
      <c r="A23" s="21">
        <v>46031</v>
      </c>
      <c r="B23" s="22" t="s">
        <v>116</v>
      </c>
      <c r="C23" s="25" t="s">
        <v>71</v>
      </c>
      <c r="D23" s="25" t="s">
        <v>72</v>
      </c>
      <c r="E23" s="26">
        <v>80</v>
      </c>
      <c r="F23" s="25">
        <v>20</v>
      </c>
      <c r="G23" s="23" t="s">
        <v>17</v>
      </c>
      <c r="H23" s="24" t="s">
        <v>150</v>
      </c>
    </row>
    <row r="24" spans="1:8">
      <c r="A24" s="21">
        <v>46222</v>
      </c>
      <c r="B24" s="22" t="s">
        <v>121</v>
      </c>
      <c r="C24" s="12" t="s">
        <v>74</v>
      </c>
      <c r="D24" s="12" t="s">
        <v>75</v>
      </c>
      <c r="E24" s="26">
        <v>150</v>
      </c>
      <c r="F24" s="12">
        <v>30</v>
      </c>
      <c r="G24" s="23" t="s">
        <v>101</v>
      </c>
      <c r="H24" s="24" t="s">
        <v>151</v>
      </c>
    </row>
    <row r="25" spans="1:8">
      <c r="A25" s="21">
        <v>46294</v>
      </c>
      <c r="B25" s="22" t="s">
        <v>116</v>
      </c>
      <c r="C25" s="12" t="s">
        <v>77</v>
      </c>
      <c r="D25" s="12" t="s">
        <v>78</v>
      </c>
      <c r="E25" s="26">
        <v>800</v>
      </c>
      <c r="F25" s="12">
        <v>45</v>
      </c>
      <c r="G25" s="23" t="s">
        <v>9</v>
      </c>
      <c r="H25" s="24" t="s">
        <v>152</v>
      </c>
    </row>
    <row r="26" spans="1:8">
      <c r="A26" s="21">
        <v>46176</v>
      </c>
      <c r="B26" s="22" t="s">
        <v>116</v>
      </c>
      <c r="C26" s="25" t="s">
        <v>62</v>
      </c>
      <c r="D26" s="25" t="s">
        <v>80</v>
      </c>
      <c r="E26" s="26">
        <v>309</v>
      </c>
      <c r="F26" s="25">
        <v>25</v>
      </c>
      <c r="G26" s="23" t="s">
        <v>13</v>
      </c>
      <c r="H26" s="24" t="s">
        <v>153</v>
      </c>
    </row>
    <row r="27" spans="1:8">
      <c r="A27" s="21">
        <v>46214</v>
      </c>
      <c r="B27" s="22" t="s">
        <v>116</v>
      </c>
      <c r="C27" s="12" t="s">
        <v>32</v>
      </c>
      <c r="D27" s="12" t="s">
        <v>82</v>
      </c>
      <c r="E27" s="26">
        <v>400</v>
      </c>
      <c r="F27" s="12">
        <v>40</v>
      </c>
      <c r="G27" s="23" t="s">
        <v>17</v>
      </c>
      <c r="H27" s="24" t="s">
        <v>154</v>
      </c>
    </row>
    <row r="28" spans="1:8">
      <c r="A28" s="21">
        <v>46088</v>
      </c>
      <c r="B28" s="22" t="s">
        <v>116</v>
      </c>
      <c r="C28" s="12" t="s">
        <v>84</v>
      </c>
      <c r="D28" s="12" t="s">
        <v>85</v>
      </c>
      <c r="E28" s="26">
        <v>60</v>
      </c>
      <c r="F28" s="12">
        <v>30</v>
      </c>
      <c r="G28" s="23" t="s">
        <v>13</v>
      </c>
      <c r="H28" s="24" t="s">
        <v>155</v>
      </c>
    </row>
    <row r="29" spans="1:8">
      <c r="A29" s="21">
        <v>46125</v>
      </c>
      <c r="B29" s="22" t="s">
        <v>116</v>
      </c>
      <c r="C29" s="25" t="s">
        <v>87</v>
      </c>
      <c r="D29" s="25" t="s">
        <v>88</v>
      </c>
      <c r="E29" s="26">
        <v>40</v>
      </c>
      <c r="F29" s="25">
        <v>10</v>
      </c>
      <c r="G29" s="23" t="s">
        <v>17</v>
      </c>
      <c r="H29" s="24" t="s">
        <v>156</v>
      </c>
    </row>
    <row r="30" spans="1:8">
      <c r="A30" s="21">
        <v>46166</v>
      </c>
      <c r="B30" s="22" t="s">
        <v>116</v>
      </c>
      <c r="C30" s="12" t="s">
        <v>74</v>
      </c>
      <c r="D30" s="12" t="s">
        <v>90</v>
      </c>
      <c r="E30" s="26">
        <v>130</v>
      </c>
      <c r="F30" s="12">
        <v>5</v>
      </c>
      <c r="G30" s="23" t="s">
        <v>9</v>
      </c>
      <c r="H30" s="24" t="s">
        <v>157</v>
      </c>
    </row>
    <row r="31" spans="1:8">
      <c r="A31" s="21">
        <v>46358</v>
      </c>
      <c r="B31" s="22" t="s">
        <v>116</v>
      </c>
      <c r="C31" s="25" t="s">
        <v>92</v>
      </c>
      <c r="D31" s="25" t="s">
        <v>93</v>
      </c>
      <c r="E31" s="26">
        <v>50</v>
      </c>
      <c r="F31" s="25">
        <v>50</v>
      </c>
      <c r="G31" s="23" t="s">
        <v>13</v>
      </c>
      <c r="H31" s="24" t="s">
        <v>158</v>
      </c>
    </row>
    <row r="32" spans="1:8">
      <c r="A32" s="21">
        <v>46212</v>
      </c>
      <c r="B32" s="22" t="s">
        <v>122</v>
      </c>
      <c r="C32" s="25" t="s">
        <v>95</v>
      </c>
      <c r="D32" s="25" t="s">
        <v>96</v>
      </c>
      <c r="E32" s="26">
        <v>100</v>
      </c>
      <c r="F32" s="25">
        <v>20</v>
      </c>
      <c r="G32" s="23" t="s">
        <v>56</v>
      </c>
      <c r="H32" s="24" t="s">
        <v>159</v>
      </c>
    </row>
  </sheetData>
  <mergeCells count="1">
    <mergeCell ref="K9:Q14"/>
  </mergeCells>
  <conditionalFormatting sqref="A1:D32 F1:H32">
    <cfRule type="expression" priority="10">
      <formula>$E$2:$E$32=$G$2</formula>
    </cfRule>
    <cfRule type="expression" dxfId="33" priority="14">
      <formula>$E$2:$G$32="electronics"</formula>
    </cfRule>
  </conditionalFormatting>
  <conditionalFormatting sqref="E1:E3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{30F8ECF3-3954-4FFE-BDD2-B344881E990F}</x14:id>
        </ext>
      </extLst>
    </cfRule>
    <cfRule type="expression" dxfId="32" priority="3">
      <formula>$E$1:$G$32="Electronics"</formula>
    </cfRule>
  </conditionalFormatting>
  <conditionalFormatting sqref="F1:H32 A1:D32">
    <cfRule type="expression" dxfId="31" priority="9">
      <formula>$E$2:$E$32=$G$2</formula>
    </cfRule>
    <cfRule type="expression" dxfId="30" priority="12">
      <formula>$G$2=$E$2:$E$32</formula>
    </cfRule>
  </conditionalFormatting>
  <conditionalFormatting sqref="G1:G32">
    <cfRule type="expression" dxfId="29" priority="6">
      <formula>$J$3=$G$2</formula>
    </cfRule>
    <cfRule type="expression" dxfId="28" priority="7">
      <formula>$G$2:$G$32=#REF!</formula>
    </cfRule>
    <cfRule type="top10" priority="15" rank="10"/>
  </conditionalFormatting>
  <conditionalFormatting sqref="G2">
    <cfRule type="expression" dxfId="27" priority="5">
      <formula>$G$2</formula>
    </cfRule>
  </conditionalFormatting>
  <conditionalFormatting sqref="G2:G32">
    <cfRule type="expression" dxfId="26" priority="1">
      <formula>$G2:$G32="Electronics"</formula>
    </cfRule>
    <cfRule type="expression" dxfId="25" priority="4">
      <formula>electronics</formula>
    </cfRule>
    <cfRule type="expression" dxfId="24" priority="8">
      <formula>$G$2</formula>
    </cfRule>
    <cfRule type="expression" dxfId="23" priority="11">
      <formula>$E$2=$G$2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F8ECF3-3954-4FFE-BDD2-B344881E990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E1:E32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D32B8-42A7-441C-B5FF-5C6370F5E2A1}">
  <dimension ref="A1:K33"/>
  <sheetViews>
    <sheetView tabSelected="1" workbookViewId="0">
      <selection activeCell="H7" sqref="H7"/>
    </sheetView>
  </sheetViews>
  <sheetFormatPr defaultRowHeight="13.2"/>
  <cols>
    <col min="1" max="1" width="18.21875" bestFit="1" customWidth="1"/>
    <col min="2" max="2" width="12.44140625" bestFit="1" customWidth="1"/>
    <col min="3" max="3" width="13.6640625" bestFit="1" customWidth="1"/>
    <col min="4" max="4" width="11.77734375" bestFit="1" customWidth="1"/>
    <col min="5" max="5" width="9.6640625" bestFit="1" customWidth="1"/>
    <col min="7" max="7" width="11" bestFit="1" customWidth="1"/>
    <col min="8" max="8" width="20.77734375" bestFit="1" customWidth="1"/>
  </cols>
  <sheetData>
    <row r="1" spans="1:11">
      <c r="A1" s="19" t="s">
        <v>124</v>
      </c>
      <c r="B1" s="19" t="s">
        <v>125</v>
      </c>
      <c r="C1" s="19" t="s">
        <v>1</v>
      </c>
      <c r="D1" s="19" t="s">
        <v>2</v>
      </c>
      <c r="E1" s="27" t="s">
        <v>3</v>
      </c>
      <c r="F1" s="19" t="s">
        <v>4</v>
      </c>
      <c r="G1" s="19" t="s">
        <v>5</v>
      </c>
      <c r="H1" s="20" t="s">
        <v>126</v>
      </c>
      <c r="K1" s="23"/>
    </row>
    <row r="2" spans="1:11">
      <c r="A2" s="39">
        <v>46050</v>
      </c>
      <c r="B2" s="22" t="s">
        <v>111</v>
      </c>
      <c r="C2" s="31" t="s">
        <v>42</v>
      </c>
      <c r="D2" s="12" t="s">
        <v>8</v>
      </c>
      <c r="E2" s="26">
        <v>1000</v>
      </c>
      <c r="F2" s="12">
        <v>30</v>
      </c>
      <c r="G2" s="33" t="s">
        <v>9</v>
      </c>
      <c r="H2" s="24" t="s">
        <v>128</v>
      </c>
    </row>
    <row r="3" spans="1:11">
      <c r="A3" s="39">
        <v>46068</v>
      </c>
      <c r="B3" s="22" t="s">
        <v>111</v>
      </c>
      <c r="C3" s="32" t="s">
        <v>11</v>
      </c>
      <c r="D3" s="25" t="s">
        <v>12</v>
      </c>
      <c r="E3" s="26">
        <v>80</v>
      </c>
      <c r="F3" s="25">
        <v>15</v>
      </c>
      <c r="G3" s="33" t="s">
        <v>13</v>
      </c>
      <c r="H3" s="24" t="s">
        <v>130</v>
      </c>
    </row>
    <row r="4" spans="1:11">
      <c r="A4" s="39">
        <v>46084</v>
      </c>
      <c r="B4" s="22" t="s">
        <v>111</v>
      </c>
      <c r="C4" s="31" t="s">
        <v>15</v>
      </c>
      <c r="D4" s="12" t="s">
        <v>16</v>
      </c>
      <c r="E4" s="26">
        <v>130</v>
      </c>
      <c r="F4" s="12">
        <v>40</v>
      </c>
      <c r="G4" s="33" t="s">
        <v>17</v>
      </c>
      <c r="H4" s="24" t="s">
        <v>131</v>
      </c>
    </row>
    <row r="5" spans="1:11">
      <c r="A5" s="39">
        <v>46123</v>
      </c>
      <c r="B5" s="22" t="s">
        <v>111</v>
      </c>
      <c r="C5" s="32" t="s">
        <v>77</v>
      </c>
      <c r="D5" s="25" t="s">
        <v>20</v>
      </c>
      <c r="E5" s="26">
        <v>900</v>
      </c>
      <c r="F5" s="25">
        <v>25</v>
      </c>
      <c r="G5" s="33" t="s">
        <v>9</v>
      </c>
      <c r="H5" s="24" t="s">
        <v>132</v>
      </c>
    </row>
    <row r="6" spans="1:11">
      <c r="A6" s="39">
        <v>46164</v>
      </c>
      <c r="B6" s="22" t="s">
        <v>111</v>
      </c>
      <c r="C6" s="31" t="s">
        <v>22</v>
      </c>
      <c r="D6" s="12" t="s">
        <v>23</v>
      </c>
      <c r="E6" s="26">
        <v>70</v>
      </c>
      <c r="F6" s="12">
        <v>20</v>
      </c>
      <c r="G6" s="33" t="s">
        <v>101</v>
      </c>
      <c r="H6" s="24" t="s">
        <v>133</v>
      </c>
    </row>
    <row r="7" spans="1:11">
      <c r="A7" s="39">
        <v>46180</v>
      </c>
      <c r="B7" s="22" t="s">
        <v>112</v>
      </c>
      <c r="C7" s="32" t="s">
        <v>25</v>
      </c>
      <c r="D7" s="25" t="s">
        <v>26</v>
      </c>
      <c r="E7" s="26">
        <v>309</v>
      </c>
      <c r="F7" s="25">
        <v>45</v>
      </c>
      <c r="G7" s="33" t="s">
        <v>9</v>
      </c>
      <c r="H7" s="24" t="s">
        <v>134</v>
      </c>
    </row>
    <row r="8" spans="1:11">
      <c r="A8" s="39">
        <v>46222</v>
      </c>
      <c r="B8" s="22" t="s">
        <v>112</v>
      </c>
      <c r="C8" s="31" t="s">
        <v>106</v>
      </c>
      <c r="D8" s="12" t="s">
        <v>30</v>
      </c>
      <c r="E8" s="26">
        <v>30</v>
      </c>
      <c r="F8" s="12">
        <v>5</v>
      </c>
      <c r="G8" s="33" t="s">
        <v>13</v>
      </c>
      <c r="H8" s="24" t="s">
        <v>135</v>
      </c>
    </row>
    <row r="9" spans="1:11">
      <c r="A9" s="39">
        <v>46257</v>
      </c>
      <c r="B9" s="22" t="s">
        <v>112</v>
      </c>
      <c r="C9" s="32" t="s">
        <v>32</v>
      </c>
      <c r="D9" s="25" t="s">
        <v>33</v>
      </c>
      <c r="E9" s="26">
        <v>90</v>
      </c>
      <c r="F9" s="25">
        <v>35</v>
      </c>
      <c r="G9" s="33" t="s">
        <v>17</v>
      </c>
      <c r="H9" s="24" t="s">
        <v>136</v>
      </c>
    </row>
    <row r="10" spans="1:11">
      <c r="A10" s="39">
        <v>46270</v>
      </c>
      <c r="B10" s="22" t="s">
        <v>112</v>
      </c>
      <c r="C10" s="31" t="s">
        <v>35</v>
      </c>
      <c r="D10" s="12" t="s">
        <v>36</v>
      </c>
      <c r="E10" s="26">
        <v>500</v>
      </c>
      <c r="F10" s="12">
        <v>50</v>
      </c>
      <c r="G10" s="33" t="s">
        <v>9</v>
      </c>
      <c r="H10" s="24" t="s">
        <v>137</v>
      </c>
    </row>
    <row r="11" spans="1:11">
      <c r="A11" s="39">
        <v>46309</v>
      </c>
      <c r="B11" s="22" t="s">
        <v>112</v>
      </c>
      <c r="C11" s="32" t="s">
        <v>38</v>
      </c>
      <c r="D11" s="25" t="s">
        <v>39</v>
      </c>
      <c r="E11" s="26">
        <v>130</v>
      </c>
      <c r="F11" s="25">
        <v>10</v>
      </c>
      <c r="G11" s="33" t="s">
        <v>40</v>
      </c>
      <c r="H11" s="24" t="s">
        <v>138</v>
      </c>
    </row>
    <row r="12" spans="1:11">
      <c r="A12" s="39">
        <v>46190</v>
      </c>
      <c r="B12" s="22" t="s">
        <v>113</v>
      </c>
      <c r="C12" s="31" t="s">
        <v>42</v>
      </c>
      <c r="D12" s="12" t="s">
        <v>43</v>
      </c>
      <c r="E12" s="26">
        <v>950</v>
      </c>
      <c r="F12" s="12">
        <v>25</v>
      </c>
      <c r="G12" s="33" t="s">
        <v>9</v>
      </c>
      <c r="H12" s="24" t="s">
        <v>139</v>
      </c>
    </row>
    <row r="13" spans="1:11">
      <c r="A13" s="39">
        <v>46351</v>
      </c>
      <c r="B13" s="22" t="s">
        <v>114</v>
      </c>
      <c r="C13" s="32" t="s">
        <v>11</v>
      </c>
      <c r="D13" s="25" t="s">
        <v>30</v>
      </c>
      <c r="E13" s="26">
        <v>90</v>
      </c>
      <c r="F13" s="25">
        <v>40</v>
      </c>
      <c r="G13" s="33" t="s">
        <v>101</v>
      </c>
      <c r="H13" s="24" t="s">
        <v>140</v>
      </c>
    </row>
    <row r="14" spans="1:11">
      <c r="A14" s="39">
        <v>46364</v>
      </c>
      <c r="B14" s="22" t="s">
        <v>115</v>
      </c>
      <c r="C14" s="31" t="s">
        <v>15</v>
      </c>
      <c r="D14" s="12" t="s">
        <v>46</v>
      </c>
      <c r="E14" s="26">
        <v>120</v>
      </c>
      <c r="F14" s="12">
        <v>35</v>
      </c>
      <c r="G14" s="33" t="s">
        <v>101</v>
      </c>
      <c r="H14" s="24" t="s">
        <v>141</v>
      </c>
    </row>
    <row r="15" spans="1:11">
      <c r="A15" s="39">
        <v>46071</v>
      </c>
      <c r="B15" s="22" t="s">
        <v>116</v>
      </c>
      <c r="C15" s="32" t="s">
        <v>48</v>
      </c>
      <c r="D15" s="25" t="s">
        <v>49</v>
      </c>
      <c r="E15" s="26">
        <v>150</v>
      </c>
      <c r="F15" s="25">
        <v>15</v>
      </c>
      <c r="G15" s="33" t="s">
        <v>9</v>
      </c>
      <c r="H15" s="24" t="s">
        <v>142</v>
      </c>
    </row>
    <row r="16" spans="1:11">
      <c r="A16" s="39">
        <v>46128</v>
      </c>
      <c r="B16" s="22" t="s">
        <v>117</v>
      </c>
      <c r="C16" s="31" t="s">
        <v>25</v>
      </c>
      <c r="D16" s="12" t="s">
        <v>52</v>
      </c>
      <c r="E16" s="26">
        <v>250</v>
      </c>
      <c r="F16" s="12">
        <v>20</v>
      </c>
      <c r="G16" s="33" t="s">
        <v>9</v>
      </c>
      <c r="H16" s="24" t="s">
        <v>143</v>
      </c>
    </row>
    <row r="17" spans="1:8">
      <c r="A17" s="39">
        <v>46255</v>
      </c>
      <c r="B17" s="22" t="s">
        <v>116</v>
      </c>
      <c r="C17" s="32" t="s">
        <v>54</v>
      </c>
      <c r="D17" s="25" t="s">
        <v>55</v>
      </c>
      <c r="E17" s="26">
        <v>50</v>
      </c>
      <c r="F17" s="25">
        <v>35</v>
      </c>
      <c r="G17" s="33" t="s">
        <v>56</v>
      </c>
      <c r="H17" s="24" t="s">
        <v>144</v>
      </c>
    </row>
    <row r="18" spans="1:8">
      <c r="A18" s="39">
        <v>46254</v>
      </c>
      <c r="B18" s="22" t="s">
        <v>118</v>
      </c>
      <c r="C18" s="31" t="s">
        <v>48</v>
      </c>
      <c r="D18" s="12" t="s">
        <v>58</v>
      </c>
      <c r="E18" s="26">
        <v>160</v>
      </c>
      <c r="F18" s="12">
        <v>15</v>
      </c>
      <c r="G18" s="33" t="s">
        <v>9</v>
      </c>
      <c r="H18" s="24" t="s">
        <v>145</v>
      </c>
    </row>
    <row r="19" spans="1:8">
      <c r="A19" s="39">
        <v>46049</v>
      </c>
      <c r="B19" s="22" t="s">
        <v>119</v>
      </c>
      <c r="C19" s="32" t="s">
        <v>42</v>
      </c>
      <c r="D19" s="25" t="s">
        <v>60</v>
      </c>
      <c r="E19" s="26">
        <v>980</v>
      </c>
      <c r="F19" s="25">
        <v>10</v>
      </c>
      <c r="G19" s="33" t="s">
        <v>9</v>
      </c>
      <c r="H19" s="24" t="s">
        <v>146</v>
      </c>
    </row>
    <row r="20" spans="1:8">
      <c r="A20" s="39">
        <v>46082</v>
      </c>
      <c r="B20" s="22" t="s">
        <v>112</v>
      </c>
      <c r="C20" s="31" t="s">
        <v>62</v>
      </c>
      <c r="D20" s="12" t="s">
        <v>63</v>
      </c>
      <c r="E20" s="26">
        <v>150</v>
      </c>
      <c r="F20" s="12">
        <v>15</v>
      </c>
      <c r="G20" s="33" t="s">
        <v>13</v>
      </c>
      <c r="H20" s="24" t="s">
        <v>147</v>
      </c>
    </row>
    <row r="21" spans="1:8">
      <c r="A21" s="39">
        <v>46248</v>
      </c>
      <c r="B21" s="22" t="s">
        <v>111</v>
      </c>
      <c r="C21" s="32" t="s">
        <v>65</v>
      </c>
      <c r="D21" s="25" t="s">
        <v>66</v>
      </c>
      <c r="E21" s="26">
        <v>309</v>
      </c>
      <c r="F21" s="25">
        <v>10</v>
      </c>
      <c r="G21" s="33" t="s">
        <v>40</v>
      </c>
      <c r="H21" s="24" t="s">
        <v>148</v>
      </c>
    </row>
    <row r="22" spans="1:8">
      <c r="A22" s="39">
        <v>46156</v>
      </c>
      <c r="B22" s="22" t="s">
        <v>120</v>
      </c>
      <c r="C22" s="31" t="s">
        <v>68</v>
      </c>
      <c r="D22" s="12" t="s">
        <v>69</v>
      </c>
      <c r="E22" s="26">
        <v>700</v>
      </c>
      <c r="F22" s="12">
        <v>50</v>
      </c>
      <c r="G22" s="33" t="s">
        <v>9</v>
      </c>
      <c r="H22" s="24" t="s">
        <v>149</v>
      </c>
    </row>
    <row r="23" spans="1:8">
      <c r="A23" s="39">
        <v>46031</v>
      </c>
      <c r="B23" s="22" t="s">
        <v>116</v>
      </c>
      <c r="C23" s="32" t="s">
        <v>71</v>
      </c>
      <c r="D23" s="25" t="s">
        <v>72</v>
      </c>
      <c r="E23" s="26">
        <v>80</v>
      </c>
      <c r="F23" s="25">
        <v>20</v>
      </c>
      <c r="G23" s="33" t="s">
        <v>17</v>
      </c>
      <c r="H23" s="24" t="s">
        <v>150</v>
      </c>
    </row>
    <row r="24" spans="1:8">
      <c r="A24" s="39">
        <v>46222</v>
      </c>
      <c r="B24" s="22" t="s">
        <v>121</v>
      </c>
      <c r="C24" s="31" t="s">
        <v>74</v>
      </c>
      <c r="D24" s="12" t="s">
        <v>75</v>
      </c>
      <c r="E24" s="26">
        <v>150</v>
      </c>
      <c r="F24" s="12">
        <v>30</v>
      </c>
      <c r="G24" s="33" t="s">
        <v>101</v>
      </c>
      <c r="H24" s="24" t="s">
        <v>151</v>
      </c>
    </row>
    <row r="25" spans="1:8">
      <c r="A25" s="39">
        <v>46294</v>
      </c>
      <c r="B25" s="22" t="s">
        <v>116</v>
      </c>
      <c r="C25" s="31" t="s">
        <v>77</v>
      </c>
      <c r="D25" s="12" t="s">
        <v>78</v>
      </c>
      <c r="E25" s="26">
        <v>800</v>
      </c>
      <c r="F25" s="12">
        <v>45</v>
      </c>
      <c r="G25" s="33" t="s">
        <v>9</v>
      </c>
      <c r="H25" s="24" t="s">
        <v>152</v>
      </c>
    </row>
    <row r="26" spans="1:8">
      <c r="A26" s="39">
        <v>46176</v>
      </c>
      <c r="B26" s="22" t="s">
        <v>116</v>
      </c>
      <c r="C26" s="32" t="s">
        <v>62</v>
      </c>
      <c r="D26" s="25" t="s">
        <v>80</v>
      </c>
      <c r="E26" s="26">
        <v>309</v>
      </c>
      <c r="F26" s="25">
        <v>25</v>
      </c>
      <c r="G26" s="33" t="s">
        <v>13</v>
      </c>
      <c r="H26" s="24" t="s">
        <v>153</v>
      </c>
    </row>
    <row r="27" spans="1:8">
      <c r="A27" s="39">
        <v>46214</v>
      </c>
      <c r="B27" s="22" t="s">
        <v>116</v>
      </c>
      <c r="C27" s="31" t="s">
        <v>32</v>
      </c>
      <c r="D27" s="12" t="s">
        <v>82</v>
      </c>
      <c r="E27" s="26">
        <v>400</v>
      </c>
      <c r="F27" s="12">
        <v>40</v>
      </c>
      <c r="G27" s="33" t="s">
        <v>17</v>
      </c>
      <c r="H27" s="24" t="s">
        <v>154</v>
      </c>
    </row>
    <row r="28" spans="1:8">
      <c r="A28" s="39">
        <v>46088</v>
      </c>
      <c r="B28" s="22" t="s">
        <v>116</v>
      </c>
      <c r="C28" s="31" t="s">
        <v>84</v>
      </c>
      <c r="D28" s="12" t="s">
        <v>85</v>
      </c>
      <c r="E28" s="26">
        <v>60</v>
      </c>
      <c r="F28" s="12">
        <v>30</v>
      </c>
      <c r="G28" s="33" t="s">
        <v>13</v>
      </c>
      <c r="H28" s="24" t="s">
        <v>155</v>
      </c>
    </row>
    <row r="29" spans="1:8">
      <c r="A29" s="39">
        <v>46125</v>
      </c>
      <c r="B29" s="22" t="s">
        <v>116</v>
      </c>
      <c r="C29" s="32" t="s">
        <v>87</v>
      </c>
      <c r="D29" s="25" t="s">
        <v>88</v>
      </c>
      <c r="E29" s="26">
        <v>40</v>
      </c>
      <c r="F29" s="25">
        <v>10</v>
      </c>
      <c r="G29" s="33" t="s">
        <v>17</v>
      </c>
      <c r="H29" s="24" t="s">
        <v>156</v>
      </c>
    </row>
    <row r="30" spans="1:8">
      <c r="A30" s="39">
        <v>46166</v>
      </c>
      <c r="B30" s="22" t="s">
        <v>116</v>
      </c>
      <c r="C30" s="31" t="s">
        <v>74</v>
      </c>
      <c r="D30" s="12" t="s">
        <v>90</v>
      </c>
      <c r="E30" s="26">
        <v>130</v>
      </c>
      <c r="F30" s="12">
        <v>5</v>
      </c>
      <c r="G30" s="33" t="s">
        <v>9</v>
      </c>
      <c r="H30" s="24" t="s">
        <v>157</v>
      </c>
    </row>
    <row r="31" spans="1:8">
      <c r="A31" s="39">
        <v>46358</v>
      </c>
      <c r="B31" s="22" t="s">
        <v>116</v>
      </c>
      <c r="C31" s="32" t="s">
        <v>92</v>
      </c>
      <c r="D31" s="25" t="s">
        <v>93</v>
      </c>
      <c r="E31" s="26">
        <v>50</v>
      </c>
      <c r="F31" s="25">
        <v>50</v>
      </c>
      <c r="G31" s="33" t="s">
        <v>13</v>
      </c>
      <c r="H31" s="24" t="s">
        <v>158</v>
      </c>
    </row>
    <row r="32" spans="1:8">
      <c r="A32" s="39">
        <v>46212</v>
      </c>
      <c r="B32" s="22" t="s">
        <v>122</v>
      </c>
      <c r="C32" s="32" t="s">
        <v>95</v>
      </c>
      <c r="D32" s="25" t="s">
        <v>96</v>
      </c>
      <c r="E32" s="26">
        <v>100</v>
      </c>
      <c r="F32" s="25">
        <v>20</v>
      </c>
      <c r="G32" s="33" t="s">
        <v>56</v>
      </c>
      <c r="H32" s="24" t="s">
        <v>159</v>
      </c>
    </row>
    <row r="33" spans="8:8">
      <c r="H33" t="s">
        <v>127</v>
      </c>
    </row>
  </sheetData>
  <conditionalFormatting sqref="A1:D32 F1:H32">
    <cfRule type="expression" priority="10">
      <formula>$E$2:$E$32=$G$2</formula>
    </cfRule>
  </conditionalFormatting>
  <conditionalFormatting sqref="A33:H33">
    <cfRule type="expression" dxfId="22" priority="81">
      <formula>$E$2:$E$32=$G$2</formula>
    </cfRule>
    <cfRule type="expression" dxfId="21" priority="82">
      <formula>$G$2=$E$2:$E$32</formula>
    </cfRule>
  </conditionalFormatting>
  <conditionalFormatting sqref="E1:E3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{C9462581-7931-44BD-A947-F20C71CB3511}</x14:id>
        </ext>
      </extLst>
    </cfRule>
    <cfRule type="expression" dxfId="20" priority="3">
      <formula>$E$1:$G$32="Electronics"</formula>
    </cfRule>
  </conditionalFormatting>
  <conditionalFormatting sqref="E33:E1048576 G33:G1048576">
    <cfRule type="top10" priority="85" rank="10"/>
  </conditionalFormatting>
  <conditionalFormatting sqref="E33:E1048576">
    <cfRule type="expression" dxfId="19" priority="83">
      <formula>$E$2:$E$32=$G$2</formula>
    </cfRule>
  </conditionalFormatting>
  <conditionalFormatting sqref="F1:H32 A1:D32">
    <cfRule type="expression" dxfId="18" priority="9">
      <formula>$E$2:$E$32=$G$2</formula>
    </cfRule>
    <cfRule type="expression" dxfId="17" priority="12">
      <formula>$G$2=$E$2:$E$32</formula>
    </cfRule>
    <cfRule type="expression" dxfId="16" priority="14">
      <formula>$E$2:$G$32="electronics"</formula>
    </cfRule>
  </conditionalFormatting>
  <conditionalFormatting sqref="G1:G32">
    <cfRule type="expression" dxfId="15" priority="6">
      <formula>$J$3=$G$2</formula>
    </cfRule>
    <cfRule type="top10" priority="15" rank="10"/>
  </conditionalFormatting>
  <conditionalFormatting sqref="G1:G1048576">
    <cfRule type="expression" dxfId="14" priority="7">
      <formula>$G$2:$G$32=#REF!</formula>
    </cfRule>
    <cfRule type="expression" dxfId="13" priority="13">
      <formula>$E$2:$E$32=$G$2</formula>
    </cfRule>
  </conditionalFormatting>
  <conditionalFormatting sqref="G2">
    <cfRule type="expression" dxfId="12" priority="5">
      <formula>$G$2</formula>
    </cfRule>
  </conditionalFormatting>
  <conditionalFormatting sqref="G2:G32">
    <cfRule type="expression" dxfId="11" priority="1">
      <formula>$G2:$G32="Electronics"</formula>
    </cfRule>
    <cfRule type="expression" dxfId="10" priority="4">
      <formula>electronics</formula>
    </cfRule>
    <cfRule type="expression" dxfId="9" priority="8">
      <formula>$G$2</formula>
    </cfRule>
    <cfRule type="expression" dxfId="8" priority="11">
      <formula>$E$2=$G$2</formula>
    </cfRule>
  </conditionalFormatting>
  <conditionalFormatting sqref="K1">
    <cfRule type="expression" dxfId="7" priority="19">
      <formula>$G$2=$K$1</formula>
    </cfRule>
    <cfRule type="expression" dxfId="6" priority="20">
      <formula>$J$3=$G$2</formula>
    </cfRule>
    <cfRule type="expression" dxfId="5" priority="21">
      <formula>$G$2:$G$32=#REF!</formula>
    </cfRule>
    <cfRule type="expression" dxfId="4" priority="22">
      <formula>$G$2</formula>
    </cfRule>
    <cfRule type="expression" dxfId="3" priority="23">
      <formula>$E$2:$E$32=$G$2</formula>
    </cfRule>
    <cfRule type="expression" priority="24">
      <formula>$E$2:$E$32=$G$2</formula>
    </cfRule>
    <cfRule type="expression" dxfId="2" priority="25">
      <formula>$E$2=$G$2</formula>
    </cfRule>
    <cfRule type="expression" dxfId="1" priority="27">
      <formula>$G$2=$E$2:$E$32</formula>
    </cfRule>
    <cfRule type="expression" dxfId="0" priority="29">
      <formula>$E$2:$G$32="electronics"</formula>
    </cfRule>
    <cfRule type="top10" priority="30" rank="10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462581-7931-44BD-A947-F20C71CB351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E1:E32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Dataset</vt:lpstr>
      <vt:lpstr>1.task</vt:lpstr>
      <vt:lpstr>2.task</vt:lpstr>
      <vt:lpstr>3.task</vt:lpstr>
      <vt:lpstr>4.task</vt:lpstr>
      <vt:lpstr>5.task</vt:lpstr>
      <vt:lpstr>6.task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Lakshmanan.S</dc:creator>
  <cp:lastModifiedBy>rajlakshmanan2209@outlook.com</cp:lastModifiedBy>
  <dcterms:created xsi:type="dcterms:W3CDTF">2026-07-23T14:43:37Z</dcterms:created>
  <dcterms:modified xsi:type="dcterms:W3CDTF">2026-09-01T14:43:08Z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